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b18b70a5e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948449ee1404cf4"/>
    <x:sheet xmlns:r="http://schemas.openxmlformats.org/officeDocument/2006/relationships" name="Inputs" sheetId="2" r:id="Rc43fa61d039147cd"/>
    <x:sheet xmlns:r="http://schemas.openxmlformats.org/officeDocument/2006/relationships" name="Service Mix" sheetId="3" r:id="Rab176731765a4e09"/>
    <x:sheet xmlns:r="http://schemas.openxmlformats.org/officeDocument/2006/relationships" name="Capacity" sheetId="4" r:id="Raf9ca30ae2054dad"/>
    <x:sheet xmlns:r="http://schemas.openxmlformats.org/officeDocument/2006/relationships" name="Unit Economics" sheetId="5" r:id="Rfbb0cfd513fe412b"/>
    <x:sheet xmlns:r="http://schemas.openxmlformats.org/officeDocument/2006/relationships" name="Profitability" sheetId="6" r:id="R4608504690da4aaf"/>
    <x:sheet xmlns:r="http://schemas.openxmlformats.org/officeDocument/2006/relationships" name="Decision Cases" sheetId="7" r:id="R04b2c899000d4bd5"/>
    <x:sheet xmlns:r="http://schemas.openxmlformats.org/officeDocument/2006/relationships" name="Seasonality" sheetId="8" r:id="R1f684fe6416c4913"/>
    <x:sheet xmlns:r="http://schemas.openxmlformats.org/officeDocument/2006/relationships" name="Sensitivity" sheetId="9" r:id="R0c4ba2fbd57c4ccf"/>
    <x:sheet xmlns:r="http://schemas.openxmlformats.org/officeDocument/2006/relationships" name="Executive Findings" sheetId="10" r:id="R3c1dca8a97f34066"/>
    <x:sheet xmlns:r="http://schemas.openxmlformats.org/officeDocument/2006/relationships" name="Sources" sheetId="11" r:id="R64beaed2dfa7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$#,##0.00;[Red]($#,##0.00);-"/>
    <x:numFmt numFmtId="202" formatCode="$#,##0;[Red]($#,##0);-"/>
    <x:numFmt numFmtId="203" formatCode="#,##0.0;[Red](#,##0.0);-"/>
  </x:numFmts>
  <x:fonts count="5">
    <x:font>
      <x:sz val="11"/>
      <x:name val="Carlito"/>
    </x:font>
    <x:font>
      <x:b/>
      <x:sz val="19"/>
      <x:color rgb="FFFFFFFF"/>
      <x:name val="Carlito"/>
    </x:font>
    <x:font>
      <x:i/>
      <x:sz val="10"/>
      <x:color rgb="FF65737E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B7A78"/>
      </x:patternFill>
    </x:fill>
    <x:fill>
      <x:patternFill patternType="solid">
        <x:fgColor rgb="FFEEF5FF"/>
      </x:patternFill>
    </x:fill>
    <x:fill>
      <x:patternFill patternType="solid">
        <x:fgColor rgb="FFF1F5F6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2" fontId="4" fillId="4" borderId="0" xfId="0" applyNumberFormat="1" applyFont="1" applyFill="1" applyBorder="1"/>
    <x:xf numFmtId="202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4" fillId="4" borderId="0" xfId="0" applyNumberFormat="1" applyFont="1" applyFill="1" applyBorder="1"/>
    <x:xf numFmtId="203" fontId="0" fillId="0" borderId="0" xfId="0" applyNumberFormat="1" applyFont="1" applyFill="1" applyBorder="1"/>
    <x:xf numFmtId="203" fontId="4" fillId="4" borderId="1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47461006d4ceb" /><Relationship Type="http://schemas.openxmlformats.org/officeDocument/2006/relationships/theme" Target="/xl/theme/theme1.xml" Id="R0d7b649d93374afb" /><Relationship Type="http://schemas.openxmlformats.org/officeDocument/2006/relationships/sharedStrings" Target="/xl/sharedStrings.xml" Id="R3f32204a42bd48ff" /><Relationship Type="http://schemas.openxmlformats.org/officeDocument/2006/relationships/worksheet" Target="/xl/worksheets/sheet1.xml" Id="R4948449ee1404cf4" /><Relationship Type="http://schemas.openxmlformats.org/officeDocument/2006/relationships/worksheet" Target="/xl/worksheets/sheet2.xml" Id="Rc43fa61d039147cd" /><Relationship Type="http://schemas.openxmlformats.org/officeDocument/2006/relationships/worksheet" Target="/xl/worksheets/sheet3.xml" Id="Rab176731765a4e09" /><Relationship Type="http://schemas.openxmlformats.org/officeDocument/2006/relationships/worksheet" Target="/xl/worksheets/sheet4.xml" Id="Raf9ca30ae2054dad" /><Relationship Type="http://schemas.openxmlformats.org/officeDocument/2006/relationships/worksheet" Target="/xl/worksheets/sheet5.xml" Id="Rfbb0cfd513fe412b" /><Relationship Type="http://schemas.openxmlformats.org/officeDocument/2006/relationships/worksheet" Target="/xl/worksheets/sheet6.xml" Id="R4608504690da4aaf" /><Relationship Type="http://schemas.openxmlformats.org/officeDocument/2006/relationships/worksheet" Target="/xl/worksheets/sheet7.xml" Id="R04b2c899000d4bd5" /><Relationship Type="http://schemas.openxmlformats.org/officeDocument/2006/relationships/worksheet" Target="/xl/worksheets/sheet8.xml" Id="R1f684fe6416c4913" /><Relationship Type="http://schemas.openxmlformats.org/officeDocument/2006/relationships/worksheet" Target="/xl/worksheets/sheet9.xml" Id="R0c4ba2fbd57c4ccf" /><Relationship Type="http://schemas.openxmlformats.org/officeDocument/2006/relationships/worksheet" Target="/xl/worksheets/sheet10.xml" Id="R3c1dca8a97f34066" /><Relationship Type="http://schemas.openxmlformats.org/officeDocument/2006/relationships/worksheet" Target="/xl/worksheets/sheet11.xml" Id="R64beaed2dfa74e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2fa417161144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Illustrative monthly revenue by option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'Decision Cases'!$A$20</c:f>
              <c:strCache>
                <c:ptCount val="0"/>
              </c:strCache>
            </c:strRef>
          </c:cat>
          <c:val>
            <c:numRef>
              <c:f>'Decision Cases'!$B$20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'Decision Cases'!$A$20</c:f>
              <c:strCache>
                <c:ptCount val="0"/>
              </c:strCache>
            </c:strRef>
          </c:cat>
          <c:val>
            <c:numRef>
              <c:f>'Decision Cases'!$C$20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'Decision Cases'!$A$20</c:f>
              <c:strCache>
                <c:ptCount val="0"/>
              </c:strCache>
            </c:strRef>
          </c:cat>
          <c:val>
            <c:numRef>
              <c:f>'Decision Cases'!$D$20</c:f>
              <c:numCache>
                <c:formatCode>$#,##0;[Red]($#,##0);-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cat>
            <c:strRef>
              <c:f>'Decision Cases'!$A$20</c:f>
              <c:strCache>
                <c:ptCount val="0"/>
              </c:strCache>
            </c:strRef>
          </c:cat>
          <c:val>
            <c:numRef>
              <c:f>'Decision Cases'!$E$20</c:f>
              <c:numCache>
                <c:formatCode>$#,##0;[Red]($#,##0);-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cat>
            <c:strRef>
              <c:f>'Decision Cases'!$A$20</c:f>
              <c:strCache>
                <c:ptCount val="0"/>
              </c:strCache>
            </c:strRef>
          </c:cat>
          <c:val>
            <c:numRef>
              <c:f>'Decision Cases'!$F$20</c:f>
              <c:numCache>
                <c:formatCode>$#,##0;[Red]($#,##0);-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cat>
            <c:strRef>
              <c:f>'Decision Cases'!$A$20</c:f>
              <c:strCache>
                <c:ptCount val="0"/>
              </c:strCache>
            </c:strRef>
          </c:cat>
          <c:val>
            <c:numRef>
              <c:f>'Decision Cases'!$G$20</c:f>
              <c:numCache>
                <c:formatCode>$#,##0;[Red]($#,##0);-</c:formatCode>
                <c:ptCount val="0"/>
              </c:numCache>
            </c:numRef>
          </c:val>
        </c:ser>
        <c:ser>
          <c:idx val="6"/>
          <c:order val="6"/>
          <c:tx>
            <c:v>Series 7</c:v>
          </c:tx>
          <c:cat>
            <c:strRef>
              <c:f>'Decision Cases'!$A$20</c:f>
              <c:strCache>
                <c:ptCount val="0"/>
              </c:strCache>
            </c:strRef>
          </c:cat>
          <c:val>
            <c:numRef>
              <c:f>'Decision Cases'!$H$20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35</xdr:row>
      <xdr:rowOff>0</xdr:rowOff>
    </xdr:from>
    <xdr:to>
      <xdr:col>8</xdr:col>
      <xdr:colOff>0</xdr:colOff>
      <xdr:row>54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2fa417161144f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04a636ca70840f2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8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4" t="str">
        <x:v>DRAGONFLY | OPERATING ECONOMICS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3" customHeight="1">
      <x:c r="A3" s="8" t="str">
        <x:v>2026 retrospective analysis  /  financial figures are illustrative, not historical Dragonfly results</x:v>
      </x:c>
      <x:c r="B3" s="8"/>
      <x:c r="C3" s="8"/>
      <x:c r="D3" s="8"/>
      <x:c r="E3" s="8"/>
      <x:c r="F3" s="8"/>
      <x:c r="G3" s="8"/>
      <x:c r="H3" s="8"/>
    </x:row>
    <x:row r="5" ht="23" customHeight="1">
      <x:c r="A5" s="10" t="str">
        <x:v>WHAT THIS WORKBOOK IS</x:v>
      </x:c>
      <x:c r="B5" s="10"/>
      <x:c r="C5" s="10"/>
      <x:c r="D5" s="10"/>
      <x:c r="E5" s="10"/>
      <x:c r="F5" s="10"/>
      <x:c r="G5" s="10"/>
      <x:c r="H5" s="10"/>
    </x:row>
    <x:row r="6">
      <x:c r="A6" t="str">
        <x:v>Purpose</x:v>
      </x:c>
      <x:c r="B6" t="str">
        <x:v>Service-business operating economics and management decisions</x:v>
      </x:c>
    </x:row>
    <x:row r="7">
      <x:c r="A7" t="str">
        <x:v>Historical scope</x:v>
      </x:c>
      <x:c r="B7" t="str">
        <x:v>Dragonfly grew to approximately 21 employees, excluding two family operators</x:v>
      </x:c>
    </x:row>
    <x:row r="8">
      <x:c r="A8" t="str">
        <x:v>Historical period</x:v>
      </x:c>
      <x:c r="B8" t="str">
        <x:v>Approximately 2017 to 2021; dates based on firsthand reporting</x:v>
      </x:c>
    </x:row>
    <x:row r="9">
      <x:c r="A9" t="str">
        <x:v>Financial inputs</x:v>
      </x:c>
      <x:c r="B9" t="str">
        <x:v>Illustrative monthly scenario; NOT reconstructed historical books</x:v>
      </x:c>
    </x:row>
    <x:row r="10">
      <x:c r="A10" t="str">
        <x:v>Workforce in scenario</x:v>
      </x:c>
      <x:c r="B10" t="str">
        <x:v>Five modeled field technicians; not a claim about actual mix of 21 employees</x:v>
      </x:c>
    </x:row>
    <x:row r="11">
      <x:c r="A11" t="str">
        <x:v>Revenue and profit</x:v>
      </x:c>
      <x:c r="B11" t="str">
        <x:v>Hypothetical, formula-driven; not company sales, margins or results</x:v>
      </x:c>
    </x:row>
    <x:row r="12">
      <x:c r="A12" t="str">
        <x:v>Where to edit</x:v>
      </x:c>
      <x:c r="B12" t="str">
        <x:v>Blue values on Inputs and Service Mix; the workbook recalculates downstream</x:v>
      </x:c>
    </x:row>
    <x:row r="14" ht="23" customHeight="1">
      <x:c r="A14" s="10" t="str">
        <x:v>HOW TO READ THE ANALYSIS</x:v>
      </x:c>
      <x:c r="B14" s="10"/>
      <x:c r="C14" s="10"/>
      <x:c r="D14" s="10"/>
      <x:c r="E14" s="10"/>
      <x:c r="F14" s="10"/>
      <x:c r="G14" s="10"/>
      <x:c r="H14" s="10"/>
    </x:row>
    <x:row r="15">
      <x:c r="A15" t="str">
        <x:v>01  Inputs</x:v>
      </x:c>
      <x:c r="B15" t="str">
        <x:v>Demand, people, cost rates, scenario controls and provenance</x:v>
      </x:c>
    </x:row>
    <x:row r="16">
      <x:c r="A16" t="str">
        <x:v>02  Service Mix</x:v>
      </x:c>
      <x:c r="B16" t="str">
        <x:v>Two illustrative service lines, weighted price and routing workload</x:v>
      </x:c>
    </x:row>
    <x:row r="17">
      <x:c r="A17" t="str">
        <x:v>03  Capacity</x:v>
      </x:c>
      <x:c r="B17" t="str">
        <x:v>Available hours, scheduling constraints, unmet demand, utilization</x:v>
      </x:c>
    </x:row>
    <x:row r="18">
      <x:c r="A18" t="str">
        <x:v>04  Unit Economics</x:v>
      </x:c>
      <x:c r="B18" t="str">
        <x:v>Cash costs and allocated payroll on a common per-job basis</x:v>
      </x:c>
    </x:row>
    <x:row r="19">
      <x:c r="A19" t="str">
        <x:v>05  Profitability</x:v>
      </x:c>
      <x:c r="B19" t="str">
        <x:v>Representative-month operating result with no EBITDA claim</x:v>
      </x:c>
    </x:row>
    <x:row r="20">
      <x:c r="A20" t="str">
        <x:v>06  Decision Cases</x:v>
      </x:c>
      <x:c r="B20" t="str">
        <x:v>Hiring, route optimization, territory growth and pricing choices</x:v>
      </x:c>
    </x:row>
    <x:row r="21">
      <x:c r="A21" t="str">
        <x:v>07  Seasonality</x:v>
      </x:c>
      <x:c r="B21" t="str">
        <x:v>Twelve-month demand illustration with fixed staffing</x:v>
      </x:c>
    </x:row>
    <x:row r="22">
      <x:c r="A22" t="str">
        <x:v>08  Sensitivity</x:v>
      </x:c>
      <x:c r="B22" t="str">
        <x:v>Price and demand stress tests; wages and retention analysis</x:v>
      </x:c>
    </x:row>
    <x:row r="24" ht="23" customHeight="1">
      <x:c r="A24" s="10" t="str">
        <x:v>INTERPRETATION GUARDRAILS</x:v>
      </x:c>
      <x:c r="B24" s="10"/>
      <x:c r="C24" s="10"/>
      <x:c r="D24" s="10"/>
      <x:c r="E24" s="10"/>
      <x:c r="F24" s="10"/>
      <x:c r="G24" s="10"/>
      <x:c r="H24" s="10"/>
    </x:row>
    <x:row r="25">
      <x:c r="A25" t="str">
        <x:v>Source standards</x:v>
      </x:c>
      <x:c r="B25" t="str">
        <x:v>Firsthand career history is separate from hypothetical scenario inputs</x:v>
      </x:c>
    </x:row>
    <x:row r="26">
      <x:c r="A26" t="str">
        <x:v>No audited financials</x:v>
      </x:c>
      <x:c r="B26" t="str">
        <x:v>There are no historical accounting, job exports, CRM or payroll files in scope</x:v>
      </x:c>
    </x:row>
    <x:row r="27">
      <x:c r="A27" t="str">
        <x:v>Margin nomenclature</x:v>
      </x:c>
      <x:c r="B27" t="str">
        <x:v>Operating profit = revenue less payroll, direct variable and modeled overhead</x:v>
      </x:c>
    </x:row>
    <x:row r="28">
      <x:c r="A28" t="str">
        <x:v>Model boundary</x:v>
      </x:c>
      <x:c r="B28" t="str">
        <x:v>No taxes, debt service, depreciation, working capital or owner distributions</x:v>
      </x:c>
    </x:row>
    <x:row r="29">
      <x:c r="A29" t="str">
        <x:v>Decision rule</x:v>
      </x:c>
      <x:c r="B29" t="str">
        <x:v>Do not interpret a higher modeled margin as a proven historical outcome</x:v>
      </x:c>
    </x:row>
  </x:sheetData>
  <x:mergeCells>
    <x:mergeCell ref="A1:H2"/>
    <x:mergeCell ref="A3:H3"/>
    <x:mergeCell ref="A5:H5"/>
    <x:mergeCell ref="A14:H14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30" hidden="0" customWidth="1"/>
    <x:col min="4" max="4" width="67" hidden="0" customWidth="1"/>
  </x:cols>
  <x:sheetData>
    <x:row r="1" ht="25" customHeight="1">
      <x:c r="A1" s="4" t="str">
        <x:v>ASSUMPTIONS | ONE-MONTH BASE CASE</x:v>
      </x:c>
      <x:c r="B1" s="4"/>
      <x:c r="C1" s="4"/>
      <x:c r="D1" s="4"/>
    </x:row>
    <x:row r="2" ht="25" customHeight="1">
      <x:c r="A2" s="4"/>
      <x:c r="B2" s="4"/>
      <x:c r="C2" s="4"/>
      <x:c r="D2" s="4"/>
    </x:row>
    <x:row r="3" ht="23" customHeight="1">
      <x:c r="A3" s="8" t="str">
        <x:v>Every blue value is editable. Provenance is given in columns C and D.</x:v>
      </x:c>
      <x:c r="B3" s="8"/>
      <x:c r="C3" s="8"/>
      <x:c r="D3" s="8"/>
    </x:row>
    <x:row r="5" ht="24" customHeight="1">
      <x:c r="A5" s="14" t="str">
        <x:v>Driver</x:v>
      </x:c>
      <x:c r="B5" s="14" t="str">
        <x:v>Editable value</x:v>
      </x:c>
      <x:c r="C5" s="14" t="str">
        <x:v>Units / source</x:v>
      </x:c>
      <x:c r="D5" s="14" t="str">
        <x:v>Interpretation</x:v>
      </x:c>
    </x:row>
    <x:row r="6">
      <x:c r="A6" s="28" t="str">
        <x:v>Customer demand</x:v>
      </x:c>
      <x:c r="B6" s="20" t="n">
        <x:v>680</x:v>
      </x:c>
      <x:c r="C6" t="str">
        <x:v>jobs / month</x:v>
      </x:c>
      <x:c r="D6" t="str">
        <x:v>Illustrative demand = customer count x visits; baseline proxy</x:v>
      </x:c>
    </x:row>
    <x:row r="7">
      <x:c r="A7" t="str">
        <x:v>Field technicians</x:v>
      </x:c>
      <x:c r="B7" s="20" t="n">
        <x:v>5</x:v>
      </x:c>
      <x:c r="C7" t="str">
        <x:v>people</x:v>
      </x:c>
      <x:c r="D7" t="str">
        <x:v>Illustrative staffing; not Dragonfly historical staffing mix</x:v>
      </x:c>
    </x:row>
    <x:row r="8">
      <x:c r="A8" t="str">
        <x:v>Workdays</x:v>
      </x:c>
      <x:c r="B8" s="20" t="n">
        <x:v>22</x:v>
      </x:c>
      <x:c r="C8" t="str">
        <x:v>days / month</x:v>
      </x:c>
      <x:c r="D8" t="str">
        <x:v>Assumption, standard working month</x:v>
      </x:c>
    </x:row>
    <x:row r="9">
      <x:c r="A9" t="str">
        <x:v>Paid hours per workday</x:v>
      </x:c>
      <x:c r="B9" s="20" t="n">
        <x:v>8</x:v>
      </x:c>
      <x:c r="C9" t="str">
        <x:v>hours / tech-day</x:v>
      </x:c>
      <x:c r="D9" t="str">
        <x:v>Assumption</x:v>
      </x:c>
    </x:row>
    <x:row r="10">
      <x:c r="A10" t="str">
        <x:v>Admin / setup per tech-day</x:v>
      </x:c>
      <x:c r="B10" s="20" t="n">
        <x:v>1</x:v>
      </x:c>
      <x:c r="C10" t="str">
        <x:v>hours / tech-day</x:v>
      </x:c>
      <x:c r="D10" t="str">
        <x:v>Time unavailable for travel or service</x:v>
      </x:c>
    </x:row>
    <x:row r="11">
      <x:c r="A11" t="str">
        <x:v>Hourly base wage</x:v>
      </x:c>
      <x:c r="B11" s="24" t="n">
        <x:v>22.5</x:v>
      </x:c>
      <x:c r="C11" t="str">
        <x:v>USD / hour</x:v>
      </x:c>
      <x:c r="D11" t="str">
        <x:v>Scenario; near 2025 BLS US median of $21.75/hour</x:v>
      </x:c>
    </x:row>
    <x:row r="12">
      <x:c r="A12" t="str">
        <x:v>Payroll burden</x:v>
      </x:c>
      <x:c r="B12" s="22" t="n">
        <x:v>0.25</x:v>
      </x:c>
      <x:c r="C12" t="str">
        <x:v>fraction</x:v>
      </x:c>
      <x:c r="D12" t="str">
        <x:v>Scenario: payroll tax, benefits and workers compensation</x:v>
      </x:c>
    </x:row>
    <x:row r="13">
      <x:c r="A13" t="str">
        <x:v>Fleet / equipment fixed cost</x:v>
      </x:c>
      <x:c r="B13" s="26" t="n">
        <x:v>430</x:v>
      </x:c>
      <x:c r="C13" t="str">
        <x:v>USD / tech-month</x:v>
      </x:c>
      <x:c r="D13" t="str">
        <x:v>Scenario: maintenance, allocation, insurance; excludes variable fuel</x:v>
      </x:c>
    </x:row>
    <x:row r="14">
      <x:c r="A14" t="str">
        <x:v>Travel fuel variable rate</x:v>
      </x:c>
      <x:c r="B14" s="26" t="n">
        <x:v>9</x:v>
      </x:c>
      <x:c r="C14" t="str">
        <x:v>USD / travel hour</x:v>
      </x:c>
      <x:c r="D14" t="str">
        <x:v>Scenario, fuel and travel wear only</x:v>
      </x:c>
    </x:row>
    <x:row r="15">
      <x:c r="A15" t="str">
        <x:v>Payment processor rate</x:v>
      </x:c>
      <x:c r="B15" s="26" t="n">
        <x:v>0.028</x:v>
      </x:c>
      <x:c r="C15" t="str">
        <x:v>fraction of sales</x:v>
      </x:c>
      <x:c r="D15" t="str">
        <x:v>Scenario, based on realized revenue</x:v>
      </x:c>
    </x:row>
    <x:row r="16">
      <x:c r="A16" t="str">
        <x:v>Selling / handling per visit</x:v>
      </x:c>
      <x:c r="B16" s="26" t="n">
        <x:v>3</x:v>
      </x:c>
      <x:c r="C16" t="str">
        <x:v>USD / completed visit</x:v>
      </x:c>
      <x:c r="D16" t="str">
        <x:v>Scenario, no duplicate with monthly marketing</x:v>
      </x:c>
    </x:row>
    <x:row r="17">
      <x:c r="A17" t="str">
        <x:v>Admin / support overhead</x:v>
      </x:c>
      <x:c r="B17" s="26" t="n">
        <x:v>18000</x:v>
      </x:c>
      <x:c r="C17" t="str">
        <x:v>USD / month</x:v>
      </x:c>
      <x:c r="D17" t="str">
        <x:v>Scenario; fixed admin, office, software, insurance</x:v>
      </x:c>
    </x:row>
    <x:row r="18">
      <x:c r="A18" t="str">
        <x:v>Marketing / acquisition overhead</x:v>
      </x:c>
      <x:c r="B18" s="26" t="n">
        <x:v>5500</x:v>
      </x:c>
      <x:c r="C18" t="str">
        <x:v>USD / month</x:v>
      </x:c>
      <x:c r="D18" t="str">
        <x:v>Scenario; marketing budget, excludes selling per-visit</x:v>
      </x:c>
    </x:row>
    <x:row r="19">
      <x:c r="A19" t="str">
        <x:v>Hiring onboarding amortization</x:v>
      </x:c>
      <x:c r="B19" s="26" t="n">
        <x:v>500</x:v>
      </x:c>
      <x:c r="C19" t="str">
        <x:v>USD / month</x:v>
      </x:c>
      <x:c r="D19" t="str">
        <x:v>Scenario; incremental new hire training cost</x:v>
      </x:c>
    </x:row>
    <x:row r="20">
      <x:c r="A20" t="str">
        <x:v>Route redesign amortization</x:v>
      </x:c>
      <x:c r="B20" s="26" t="n">
        <x:v>850</x:v>
      </x:c>
      <x:c r="C20" t="str">
        <x:v>USD / month</x:v>
      </x:c>
      <x:c r="D20" t="str">
        <x:v>Scenario; management/system effort for revised routes</x:v>
      </x:c>
    </x:row>
    <x:row r="21">
      <x:c r="A21" t="str">
        <x:v>New territory setup overhead</x:v>
      </x:c>
      <x:c r="B21" s="26" t="n">
        <x:v>1150</x:v>
      </x:c>
      <x:c r="C21" t="str">
        <x:v>USD / month</x:v>
      </x:c>
      <x:c r="D21" t="str">
        <x:v>Scenario; local launch overhead distinct from vehicles</x:v>
      </x:c>
    </x:row>
    <x:row r="22">
      <x:c r="A22" t="str">
        <x:v>Annual recurring customer retention</x:v>
      </x:c>
      <x:c r="B22" s="22" t="n">
        <x:v>0.8</x:v>
      </x:c>
      <x:c r="C22" t="str">
        <x:v>fraction</x:v>
      </x:c>
      <x:c r="D22" t="str">
        <x:v>Scenario, ONLY for simplified CLV illustration</x:v>
      </x:c>
    </x:row>
    <x:row r="23">
      <x:c r="A23" s="28" t="str">
        <x:v>Recurring customer count</x:v>
      </x:c>
      <x:c r="B23" s="20" t="n">
        <x:v>340</x:v>
      </x:c>
      <x:c r="C23" t="str">
        <x:v>customers</x:v>
      </x:c>
      <x:c r="D23" t="str">
        <x:v>Scenario; no evidence of historical customer base</x:v>
      </x:c>
    </x:row>
    <x:row r="24">
      <x:c r="A24" s="28" t="str">
        <x:v>Visits per customer / month</x:v>
      </x:c>
      <x:c r="B24" s="20" t="n">
        <x:v>2</x:v>
      </x:c>
      <x:c r="C24" t="str">
        <x:v>visits / month</x:v>
      </x:c>
      <x:c r="D24" t="str">
        <x:v>Scenario; demand baseline = B23 * B24</x:v>
      </x:c>
    </x:row>
    <x:row r="25">
      <x:c r="A25" t="str">
        <x:v>Overtime premium</x:v>
      </x:c>
      <x:c r="B25" s="20" t="n">
        <x:v>0.5</x:v>
      </x:c>
      <x:c r="C25" t="str">
        <x:v>additional wage fraction</x:v>
      </x:c>
      <x:c r="D25" t="str">
        <x:v>Scenario; overtime not automatically staffed</x:v>
      </x:c>
    </x:row>
    <x:row r="26">
      <x:c r="A26" t="str">
        <x:v>Service capacity reserve</x:v>
      </x:c>
      <x:c r="B26" s="22" t="n">
        <x:v>0.04</x:v>
      </x:c>
      <x:c r="C26" t="str">
        <x:v>fraction</x:v>
      </x:c>
      <x:c r="D26" t="str">
        <x:v>Slack for cancellations, interruptions and quality</x:v>
      </x:c>
    </x:row>
    <x:row r="27">
      <x:c r="A27" t="str">
        <x:v>Price change scenario</x:v>
      </x:c>
      <x:c r="B27" s="22" t="n">
        <x:v>0.06</x:v>
      </x:c>
      <x:c r="C27" t="str">
        <x:v>fraction</x:v>
      </x:c>
      <x:c r="D27" t="str">
        <x:v>Scenario: 6% quoted price increase</x:v>
      </x:c>
    </x:row>
    <x:row r="28">
      <x:c r="A28" t="str">
        <x:v>Price-related volume loss</x:v>
      </x:c>
      <x:c r="B28" s="22" t="n">
        <x:v>0.04</x:v>
      </x:c>
      <x:c r="C28" t="str">
        <x:v>fraction</x:v>
      </x:c>
      <x:c r="D28" t="str">
        <x:v>Scenario: demand response to price change</x:v>
      </x:c>
    </x:row>
    <x:row r="29">
      <x:c r="A29" t="str">
        <x:v>Route improvement (hours / visit)</x:v>
      </x:c>
      <x:c r="B29" s="20" t="n">
        <x:v>0.12</x:v>
      </x:c>
      <x:c r="C29" t="str">
        <x:v>hours per visit</x:v>
      </x:c>
      <x:c r="D29" t="str">
        <x:v>Scenario: 7.2 travel minutes recovered / job</x:v>
      </x:c>
    </x:row>
    <x:row r="30">
      <x:c r="A30" t="str">
        <x:v>Additional demanded jobs</x:v>
      </x:c>
      <x:c r="B30" s="20" t="n">
        <x:v>75</x:v>
      </x:c>
      <x:c r="C30" t="str">
        <x:v>jobs / month</x:v>
      </x:c>
      <x:c r="D30" t="str">
        <x:v>Scenario: growth in current service area</x:v>
      </x:c>
    </x:row>
    <x:row r="31">
      <x:c r="A31" t="str">
        <x:v>New territory drive time</x:v>
      </x:c>
      <x:c r="B31" s="20" t="n">
        <x:v>0.57</x:v>
      </x:c>
      <x:c r="C31" t="str">
        <x:v>hours / job</x:v>
      </x:c>
      <x:c r="D31" t="str">
        <x:v>Scenario: dispersed expansion territory</x:v>
      </x:c>
    </x:row>
    <x:row r="32">
      <x:c r="A32" t="str">
        <x:v>Adjacent dense visits</x:v>
      </x:c>
      <x:c r="B32" s="20" t="n">
        <x:v>75</x:v>
      </x:c>
      <x:c r="C32" t="str">
        <x:v>jobs / month</x:v>
      </x:c>
      <x:c r="D32" t="str">
        <x:v>Scenario: nearby contracted jobs</x:v>
      </x:c>
    </x:row>
    <x:row r="33">
      <x:c r="A33" t="str">
        <x:v>Dense network travel time</x:v>
      </x:c>
      <x:c r="B33" s="20" t="n">
        <x:v>0.21</x:v>
      </x:c>
      <x:c r="C33" t="str">
        <x:v>hours / job</x:v>
      </x:c>
      <x:c r="D33" t="str">
        <x:v>Scenario: post-optimization network average</x:v>
      </x:c>
    </x:row>
    <x:row r="34">
      <x:c r="A34" t="str">
        <x:v>Pest share under mix shift</x:v>
      </x:c>
      <x:c r="B34" s="22" t="n">
        <x:v>0.45</x:v>
      </x:c>
      <x:c r="C34" t="str">
        <x:v>fraction</x:v>
      </x:c>
      <x:c r="D34" t="str">
        <x:v>Scenario: more complex pest services</x:v>
      </x:c>
    </x:row>
    <x:row r="35">
      <x:c r="A35" t="str">
        <x:v>Service continuity utilization warning</x:v>
      </x:c>
      <x:c r="B35" s="22" t="n">
        <x:v>0.95</x:v>
      </x:c>
      <x:c r="C35" t="str">
        <x:v>fraction</x:v>
      </x:c>
      <x:c r="D35" t="str">
        <x:v>Management threshold; alert, not absolute limit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2" hidden="0" customWidth="1"/>
  </x:cols>
  <x:sheetData>
    <x:row r="1" ht="25" customHeight="1">
      <x:c r="A1" s="4" t="str">
        <x:v>SERVICE MIX | WEIGHTED JOB ECONOMICS</x:v>
      </x:c>
      <x:c r="B1" s="4"/>
      <x:c r="C1" s="4"/>
      <x:c r="D1" s="4"/>
      <x:c r="E1" s="4"/>
      <x:c r="F1" s="4"/>
      <x:c r="G1" s="4"/>
    </x:row>
    <x:row r="2" ht="25" customHeight="1">
      <x:c r="A2" s="4"/>
      <x:c r="B2" s="4"/>
      <x:c r="C2" s="4"/>
      <x:c r="D2" s="4"/>
      <x:c r="E2" s="4"/>
      <x:c r="F2" s="4"/>
      <x:c r="G2" s="4"/>
    </x:row>
    <x:row r="3" ht="23" customHeight="1">
      <x:c r="A3" s="8" t="str">
        <x:v>Illustrative two-line mix; edit the blue cells in rows 6 and 7</x:v>
      </x:c>
      <x:c r="B3" s="8"/>
      <x:c r="C3" s="8"/>
      <x:c r="D3" s="8"/>
      <x:c r="E3" s="8"/>
      <x:c r="F3" s="8"/>
      <x:c r="G3" s="8"/>
    </x:row>
    <x:row r="5" ht="24" customHeight="1">
      <x:c r="A5" s="14" t="str">
        <x:v>Service type</x:v>
      </x:c>
      <x:c r="B5" s="14" t="str">
        <x:v>Job share</x:v>
      </x:c>
      <x:c r="C5" s="14" t="str">
        <x:v>Avg price ($)</x:v>
      </x:c>
      <x:c r="D5" s="14" t="str">
        <x:v>Onsite hours</x:v>
      </x:c>
      <x:c r="E5" s="14" t="str">
        <x:v>Travel hours</x:v>
      </x:c>
      <x:c r="F5" s="14" t="str">
        <x:v>Materials ($)</x:v>
      </x:c>
      <x:c r="G5" s="14" t="str">
        <x:v>Source / status</x:v>
      </x:c>
    </x:row>
    <x:row r="6">
      <x:c r="A6" t="str">
        <x:v>Mosquito recurring</x:v>
      </x:c>
      <x:c r="B6" s="22" t="n">
        <x:v>0.7</x:v>
      </x:c>
      <x:c r="C6" s="24" t="n">
        <x:v>119</x:v>
      </x:c>
      <x:c r="D6" s="34" t="n">
        <x:v>0.65</x:v>
      </x:c>
      <x:c r="E6" s="34" t="n">
        <x:v>0.3</x:v>
      </x:c>
      <x:c r="F6" s="24" t="n">
        <x:v>9</x:v>
      </x:c>
      <x:c r="G6" t="str">
        <x:v>Illustrative scenario, not historical</x:v>
      </x:c>
    </x:row>
    <x:row r="7">
      <x:c r="A7" t="str">
        <x:v>General pest</x:v>
      </x:c>
      <x:c r="B7" s="22" t="n">
        <x:v>0.3</x:v>
      </x:c>
      <x:c r="C7" s="24" t="n">
        <x:v>149</x:v>
      </x:c>
      <x:c r="D7" s="34" t="n">
        <x:v>0.9</x:v>
      </x:c>
      <x:c r="E7" s="34" t="n">
        <x:v>0.4</x:v>
      </x:c>
      <x:c r="F7" s="24" t="n">
        <x:v>17</x:v>
      </x:c>
      <x:c r="G7" t="str">
        <x:v>Illustrative scenario, not historical</x:v>
      </x:c>
    </x:row>
    <x:row r="8">
      <x:c r="B8" s="30"/>
      <x:c r="C8" s="32"/>
      <x:c r="D8" s="35"/>
      <x:c r="E8" s="35"/>
      <x:c r="F8" s="32"/>
    </x:row>
    <x:row r="9">
      <x:c r="B9" s="30"/>
      <x:c r="C9" s="32"/>
      <x:c r="D9" s="35"/>
      <x:c r="E9" s="35"/>
      <x:c r="F9" s="32"/>
    </x:row>
    <x:row r="10">
      <x:c r="A10" t="str">
        <x:v>Weighted service average</x:v>
      </x:c>
      <x:c r="B10" s="30" t="n">
        <x:f>SUM(B6:B7)</x:f>
        <x:v>1</x:v>
      </x:c>
      <x:c r="C10" s="32" t="n">
        <x:f>B6*C6+B7*C7</x:f>
        <x:v>128</x:v>
      </x:c>
      <x:c r="D10" s="35" t="n">
        <x:f>B6*D6+B7*D7</x:f>
        <x:v>0.725</x:v>
      </x:c>
      <x:c r="E10" s="35" t="n">
        <x:f>B6*E6+B7*E7</x:f>
        <x:v>0.32999999999999996</x:v>
      </x:c>
      <x:c r="F10" s="32" t="n">
        <x:f>B6*F6+B7*F7</x:f>
        <x:v>11.399999999999999</x:v>
      </x:c>
    </x:row>
    <x:row r="11">
      <x:c r="A11" t="str">
        <x:v>Share check (must equal 100%)</x:v>
      </x:c>
      <x:c r="B11" s="30" t="n">
        <x:f>B10</x:f>
        <x:v>1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34" hidden="0" customWidth="1"/>
    <x:col min="3" max="3" width="17" hidden="0" customWidth="1"/>
    <x:col min="4" max="4" width="17" hidden="0" customWidth="1"/>
  </x:cols>
  <x:sheetData>
    <x:row r="1" ht="25" customHeight="1">
      <x:c r="A1" s="4" t="str">
        <x:v>WORKFORCE | SERVICEABLE CAPACITY</x:v>
      </x:c>
      <x:c r="B1" s="4"/>
      <x:c r="C1" s="4"/>
      <x:c r="D1" s="4"/>
    </x:row>
    <x:row r="2" ht="25" customHeight="1">
      <x:c r="A2" s="4"/>
      <x:c r="B2" s="4"/>
      <x:c r="C2" s="4"/>
      <x:c r="D2" s="4"/>
    </x:row>
    <x:row r="3" ht="23" customHeight="1">
      <x:c r="A3" s="8" t="str">
        <x:v>Hours-based capacity is limited by service, travel, administration and a quality reserve</x:v>
      </x:c>
      <x:c r="B3" s="8"/>
      <x:c r="C3" s="8"/>
      <x:c r="D3" s="8"/>
    </x:row>
    <x:row r="5">
      <x:c r="A5" t="str">
        <x:v>Paid technician hours</x:v>
      </x:c>
      <x:c r="B5" s="35" t="n">
        <x:f>Inputs!B7*Inputs!B8*Inputs!B9</x:f>
        <x:v>880</x:v>
      </x:c>
    </x:row>
    <x:row r="6">
      <x:c r="A6" t="str">
        <x:v>Admin / setup hours</x:v>
      </x:c>
      <x:c r="B6" s="35" t="n">
        <x:f>Inputs!B7*Inputs!B8*Inputs!B10</x:f>
        <x:v>110</x:v>
      </x:c>
    </x:row>
    <x:row r="7">
      <x:c r="A7" t="str">
        <x:v>Serviceable on-route hours</x:v>
      </x:c>
      <x:c r="B7" s="35" t="n">
        <x:f>B5-B6</x:f>
        <x:v>770</x:v>
      </x:c>
    </x:row>
    <x:row r="8">
      <x:c r="A8" t="str">
        <x:v>Average onsite hours / job</x:v>
      </x:c>
      <x:c r="B8" s="35" t="n">
        <x:f>'Service Mix'!D10</x:f>
        <x:v>0.725</x:v>
      </x:c>
    </x:row>
    <x:row r="9">
      <x:c r="A9" t="str">
        <x:v>Average travel hours / job</x:v>
      </x:c>
      <x:c r="B9" s="35" t="n">
        <x:f>'Service Mix'!E10</x:f>
        <x:v>0.32999999999999996</x:v>
      </x:c>
    </x:row>
    <x:row r="10">
      <x:c r="A10" t="str">
        <x:v>Jobs before reserve</x:v>
      </x:c>
      <x:c r="B10" s="35" t="n">
        <x:f>IFERROR(B7/(B8+B9),0)</x:f>
        <x:v>729.8578199052133</x:v>
      </x:c>
    </x:row>
    <x:row r="11">
      <x:c r="A11" t="str">
        <x:v>Service reserve</x:v>
      </x:c>
      <x:c r="B11" s="35" t="n">
        <x:f>Inputs!B26</x:f>
        <x:v>0.04</x:v>
      </x:c>
    </x:row>
    <x:row r="12">
      <x:c r="A12" t="str">
        <x:v>Effective job capacity</x:v>
      </x:c>
      <x:c r="B12" s="35" t="n">
        <x:f>B10*(1-B11)</x:f>
        <x:v>700.6635071090047</x:v>
      </x:c>
    </x:row>
    <x:row r="13">
      <x:c r="A13" t="str">
        <x:v>Scheduled completed jobs</x:v>
      </x:c>
      <x:c r="B13" s="35" t="n">
        <x:f>MIN(Inputs!B6,B12)</x:f>
        <x:v>680</x:v>
      </x:c>
    </x:row>
    <x:row r="14">
      <x:c r="A14" t="str">
        <x:v>Jobs above capacity</x:v>
      </x:c>
      <x:c r="B14" s="35" t="n">
        <x:f>MAX(0,Inputs!B6-B12)</x:f>
        <x:v>0</x:v>
      </x:c>
    </x:row>
    <x:row r="15">
      <x:c r="A15" t="str">
        <x:v>Capacity utilization</x:v>
      </x:c>
      <x:c r="B15" s="35" t="n">
        <x:f>IFERROR(B13/B12,0)</x:f>
        <x:v>0.970508658008658</x:v>
      </x:c>
    </x:row>
    <x:row r="16">
      <x:c r="A16" t="str">
        <x:v>Onsite hours consumed</x:v>
      </x:c>
      <x:c r="B16" s="35" t="n">
        <x:f>B13*B8</x:f>
        <x:v>493</x:v>
      </x:c>
    </x:row>
    <x:row r="17">
      <x:c r="A17" t="str">
        <x:v>Travel hours consumed</x:v>
      </x:c>
      <x:c r="B17" s="35" t="n">
        <x:f>B13*B9</x:f>
        <x:v>224.39999999999998</x:v>
      </x:c>
    </x:row>
    <x:row r="18">
      <x:c r="A18" t="str">
        <x:v>Unallocated workable hours</x:v>
      </x:c>
      <x:c r="B18" s="35" t="n">
        <x:f>MAX(0,B7-B16-B17)</x:f>
        <x:v>52.60000000000002</x:v>
      </x:c>
    </x:row>
    <x:row r="19">
      <x:c r="A19" t="str">
        <x:v>Unbuffered overtime exposure</x:v>
      </x:c>
      <x:c r="B19" s="35" t="n">
        <x:f>MAX(0,Inputs!B6-B10)*(B8+B9)</x:f>
        <x:v>0</x:v>
      </x:c>
    </x:row>
    <x:row r="20">
      <x:c r="A20" t="str">
        <x:v>Workload completion rate</x:v>
      </x:c>
      <x:c r="B20" s="30" t="n">
        <x:f>IFERROR(B13/Inputs!B6,0)</x:f>
        <x:v>1</x:v>
      </x:c>
    </x:row>
    <x:row r="23">
      <x:c r="A23" t="str">
        <x:v>Interpretation</x:v>
      </x:c>
      <x:c r="B23" t="str">
        <x:v>5 people is hypothetical; actual Dragonfly grew to 21 total employees</x:v>
      </x:c>
    </x:row>
    <x:row r="24">
      <x:c r="A24" t="str">
        <x:v>Why reserve?</x:v>
      </x:c>
      <x:c r="B24" t="str">
        <x:v>Protects practical service quality from extreme scheduling assumptions</x:v>
      </x:c>
    </x:row>
    <x:row r="25">
      <x:c r="A25" t="str">
        <x:v>Constraint</x:v>
      </x:c>
      <x:c r="B25" t="str">
        <x:v>Unserved modeled jobs are deferred, not recorded Dragonfly lost revenue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70" hidden="0" customWidth="1"/>
    <x:col min="3" max="3" width="17" hidden="0" customWidth="1"/>
    <x:col min="4" max="4" width="17" hidden="0" customWidth="1"/>
  </x:cols>
  <x:sheetData>
    <x:row r="1" ht="25" customHeight="1">
      <x:c r="A1" s="4" t="str">
        <x:v>UNIT ECONOMICS | PER COMPLETED VISIT</x:v>
      </x:c>
      <x:c r="B1" s="4"/>
      <x:c r="C1" s="4"/>
      <x:c r="D1" s="4"/>
    </x:row>
    <x:row r="2" ht="25" customHeight="1">
      <x:c r="A2" s="4"/>
      <x:c r="B2" s="4"/>
      <x:c r="C2" s="4"/>
      <x:c r="D2" s="4"/>
    </x:row>
    <x:row r="3" ht="23" customHeight="1">
      <x:c r="A3" s="8" t="str">
        <x:v>Payroll allocated per visit is reconciled to total wages in the operating statement</x:v>
      </x:c>
      <x:c r="B3" s="8"/>
      <x:c r="C3" s="8"/>
      <x:c r="D3" s="8"/>
    </x:row>
    <x:row r="5">
      <x:c r="A5" t="str">
        <x:v>Weighted realized price</x:v>
      </x:c>
      <x:c r="B5" s="32" t="n">
        <x:f>'Service Mix'!C10</x:f>
        <x:v>128</x:v>
      </x:c>
    </x:row>
    <x:row r="6">
      <x:c r="A6" t="str">
        <x:v>Materials per completed job</x:v>
      </x:c>
      <x:c r="B6" s="32" t="n">
        <x:f>'Service Mix'!F10</x:f>
        <x:v>11.399999999999999</x:v>
      </x:c>
    </x:row>
    <x:row r="7">
      <x:c r="A7" t="str">
        <x:v>Travel / fuel per job</x:v>
      </x:c>
      <x:c r="B7" s="32" t="n">
        <x:f>'Service Mix'!E10*Inputs!B14</x:f>
        <x:v>2.9699999999999998</x:v>
      </x:c>
    </x:row>
    <x:row r="8">
      <x:c r="A8" t="str">
        <x:v>Payment processing per job</x:v>
      </x:c>
      <x:c r="B8" s="32" t="n">
        <x:f>B5*Inputs!B15</x:f>
        <x:v>3.584</x:v>
      </x:c>
    </x:row>
    <x:row r="9">
      <x:c r="A9" t="str">
        <x:v>Sales handling per completed job</x:v>
      </x:c>
      <x:c r="B9" s="32" t="n">
        <x:f>Inputs!B16</x:f>
        <x:v>3</x:v>
      </x:c>
    </x:row>
    <x:row r="10">
      <x:c r="A10" t="str">
        <x:v>Variable cash cost ex payroll</x:v>
      </x:c>
      <x:c r="B10" s="32" t="n">
        <x:f>SUM(B6:B9)</x:f>
        <x:v>20.953999999999997</x:v>
      </x:c>
    </x:row>
    <x:row r="11">
      <x:c r="A11" t="str">
        <x:v>Allocated full payroll / job</x:v>
      </x:c>
      <x:c r="B11" s="32" t="n">
        <x:f>IFERROR(Profitability!B11/Capacity!B13,0)</x:f>
        <x:v>36.39705882352941</x:v>
      </x:c>
    </x:row>
    <x:row r="12">
      <x:c r="A12" t="str">
        <x:v>Direct cost incl allocated payroll</x:v>
      </x:c>
      <x:c r="B12" s="32" t="n">
        <x:f>SUM(B10:B11)</x:f>
        <x:v>57.351058823529414</x:v>
      </x:c>
    </x:row>
    <x:row r="13">
      <x:c r="A13" t="str">
        <x:v>Contribution after paid labor</x:v>
      </x:c>
      <x:c r="B13" s="32" t="n">
        <x:f>B5-B12</x:f>
        <x:v>70.64894117647059</x:v>
      </x:c>
    </x:row>
    <x:row r="14">
      <x:c r="A14" t="str">
        <x:v>Contribution margin after payroll</x:v>
      </x:c>
      <x:c r="B14" s="30" t="n">
        <x:f>IFERROR(B13/B5,0)</x:f>
        <x:v>0.5519448529411765</x:v>
      </x:c>
    </x:row>
    <x:row r="15">
      <x:c r="A15" t="str">
        <x:v>Contribution before committed payroll</x:v>
      </x:c>
      <x:c r="B15" s="32" t="n">
        <x:f>B5-B10</x:f>
        <x:v>107.046</x:v>
      </x:c>
    </x:row>
    <x:row r="16">
      <x:c r="A16" t="str">
        <x:v>Variable costs in operating P&amp;L</x:v>
      </x:c>
      <x:c r="B16" s="32" t="n">
        <x:f>B10*Capacity!B13</x:f>
        <x:v>14248.719999999998</x:v>
      </x:c>
    </x:row>
    <x:row r="17">
      <x:c r="A17" t="str">
        <x:v>Annual recurring visits / customer</x:v>
      </x:c>
      <x:c r="B17" t="n">
        <x:f>Inputs!B24*12</x:f>
        <x:v>24</x:v>
      </x:c>
    </x:row>
    <x:row r="18">
      <x:c r="A18" t="str">
        <x:v>Gross contribution before labor / customer</x:v>
      </x:c>
      <x:c r="B18" s="38" t="n">
        <x:f>B15*B17</x:f>
        <x:v>2569.1040000000003</x:v>
      </x:c>
    </x:row>
    <x:row r="19">
      <x:c r="A19" t="str">
        <x:v>Modeled undiscounted lifetime contribution</x:v>
      </x:c>
      <x:c r="B19" s="38" t="n">
        <x:f>IFERROR(B18/(1-Inputs!B22),0)</x:f>
        <x:v>12845.520000000004</x:v>
      </x:c>
    </x:row>
    <x:row r="22">
      <x:c r="A22" t="str">
        <x:v>Read contribution carefully</x:v>
      </x:c>
      <x:c r="B22" t="str">
        <x:v>Labor is assigned per completed job for unit comparison, not counted twice in P&amp;L</x:v>
      </x:c>
    </x:row>
    <x:row r="23">
      <x:c r="A23" t="str">
        <x:v>Variable cash cost</x:v>
      </x:c>
      <x:c r="B23" t="str">
        <x:v>Materials + fuel + payment fees + selling/handling; no overhead allocation</x:v>
      </x:c>
    </x:row>
    <x:row r="24">
      <x:c r="A24" t="str">
        <x:v>Customer lifetime illustration</x:v>
      </x:c>
      <x:c r="B24" t="str">
        <x:v>Assumes flat visits and retention indefinitely with no discount; gross only</x:v>
      </x:c>
    </x:row>
    <x:row r="25">
      <x:c r="A25" t="str">
        <x:v>LTV is not company historical fact</x:v>
      </x:c>
      <x:c r="B25" t="str">
        <x:v>Not net of acquisition, overhead, churn variability or financing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78" hidden="0" customWidth="1"/>
    <x:col min="3" max="3" width="17" hidden="0" customWidth="1"/>
    <x:col min="4" max="4" width="17" hidden="0" customWidth="1"/>
  </x:cols>
  <x:sheetData>
    <x:row r="1" ht="25" customHeight="1">
      <x:c r="A1" s="4" t="str">
        <x:v>ILLUSTRATIVE OPERATING STATEMENT</x:v>
      </x:c>
      <x:c r="B1" s="4"/>
      <x:c r="C1" s="4"/>
      <x:c r="D1" s="4"/>
    </x:row>
    <x:row r="2" ht="25" customHeight="1">
      <x:c r="A2" s="4"/>
      <x:c r="B2" s="4"/>
      <x:c r="C2" s="4"/>
      <x:c r="D2" s="4"/>
    </x:row>
    <x:row r="3" ht="23" customHeight="1">
      <x:c r="A3" s="8" t="str">
        <x:v>Representative month. Not EBITDA and not an actual Dragonfly income statement</x:v>
      </x:c>
      <x:c r="B3" s="8"/>
      <x:c r="C3" s="8"/>
      <x:c r="D3" s="8"/>
    </x:row>
    <x:row r="5">
      <x:c r="A5" t="str">
        <x:v>Revenue</x:v>
      </x:c>
      <x:c r="B5" s="38" t="n">
        <x:f>Capacity!B13*'Unit Economics'!B5</x:f>
        <x:v>87040</x:v>
      </x:c>
    </x:row>
    <x:row r="6">
      <x:c r="A6" t="str">
        <x:v>Materials</x:v>
      </x:c>
      <x:c r="B6" s="38" t="n">
        <x:f>Capacity!B13*'Unit Economics'!B6</x:f>
        <x:v>7751.999999999999</x:v>
      </x:c>
    </x:row>
    <x:row r="7">
      <x:c r="A7" t="str">
        <x:v>Fuel / variable travel</x:v>
      </x:c>
      <x:c r="B7" s="38" t="n">
        <x:f>Capacity!B13*'Unit Economics'!B7</x:f>
        <x:v>2019.6</x:v>
      </x:c>
    </x:row>
    <x:row r="8">
      <x:c r="A8" t="str">
        <x:v>Card fees</x:v>
      </x:c>
      <x:c r="B8" s="38" t="n">
        <x:f>Capacity!B13*'Unit Economics'!B8</x:f>
        <x:v>2437.12</x:v>
      </x:c>
    </x:row>
    <x:row r="9">
      <x:c r="A9" t="str">
        <x:v>Selling per completed visit</x:v>
      </x:c>
      <x:c r="B9" s="38" t="n">
        <x:f>Capacity!B13*'Unit Economics'!B9</x:f>
        <x:v>2040</x:v>
      </x:c>
    </x:row>
    <x:row r="10">
      <x:c r="A10" t="str">
        <x:v>Total direct variable expense</x:v>
      </x:c>
      <x:c r="B10" s="38" t="n">
        <x:f>SUM(B6:B9)</x:f>
        <x:v>14248.719999999998</x:v>
      </x:c>
    </x:row>
    <x:row r="11">
      <x:c r="A11" t="str">
        <x:v>Loaded technician payroll</x:v>
      </x:c>
      <x:c r="B11" s="38" t="n">
        <x:f>Inputs!B7*Inputs!B8*Inputs!B9*Inputs!B11*(1+Inputs!B12)</x:f>
        <x:v>24750</x:v>
      </x:c>
    </x:row>
    <x:row r="12">
      <x:c r="A12" t="str">
        <x:v>Fixed fleet and equipment</x:v>
      </x:c>
      <x:c r="B12" s="38" t="n">
        <x:f>Inputs!B7*Inputs!B13</x:f>
        <x:v>2150</x:v>
      </x:c>
    </x:row>
    <x:row r="13">
      <x:c r="A13" t="str">
        <x:v>Total direct service expense</x:v>
      </x:c>
      <x:c r="B13" s="38" t="n">
        <x:f>SUM(B10:B12)</x:f>
        <x:v>41148.72</x:v>
      </x:c>
    </x:row>
    <x:row r="14">
      <x:c r="A14" t="str">
        <x:v>Gross / contribution after payroll</x:v>
      </x:c>
      <x:c r="B14" s="38" t="n">
        <x:f>B5-B13</x:f>
        <x:v>45891.28</x:v>
      </x:c>
    </x:row>
    <x:row r="15">
      <x:c r="A15" t="str">
        <x:v>Gross margin</x:v>
      </x:c>
      <x:c r="B15" s="30" t="n">
        <x:f>IFERROR(B14/B5,0)</x:f>
        <x:v>0.5272435661764706</x:v>
      </x:c>
    </x:row>
    <x:row r="16">
      <x:c r="A16" t="str">
        <x:v>Fixed marketing</x:v>
      </x:c>
      <x:c r="B16" s="38" t="n">
        <x:f>Inputs!B18</x:f>
        <x:v>5500</x:v>
      </x:c>
    </x:row>
    <x:row r="17">
      <x:c r="A17" t="str">
        <x:v>Fixed admin / support</x:v>
      </x:c>
      <x:c r="B17" s="38" t="n">
        <x:f>Inputs!B17</x:f>
        <x:v>18000</x:v>
      </x:c>
    </x:row>
    <x:row r="18">
      <x:c r="A18" t="str">
        <x:v>Total modeled operating expenses</x:v>
      </x:c>
      <x:c r="B18" s="38" t="n">
        <x:f>SUM(B16:B17)</x:f>
        <x:v>23500</x:v>
      </x:c>
    </x:row>
    <x:row r="19">
      <x:c r="A19" t="str">
        <x:v>Modeled operating profit</x:v>
      </x:c>
      <x:c r="B19" s="38" t="n">
        <x:f>B14-B18</x:f>
        <x:v>22391.28</x:v>
      </x:c>
    </x:row>
    <x:row r="20">
      <x:c r="A20" t="str">
        <x:v>Modeled operating margin</x:v>
      </x:c>
      <x:c r="B20" s="30" t="n">
        <x:f>IFERROR(B19/B5,0)</x:f>
        <x:v>0.2572527573529412</x:v>
      </x:c>
    </x:row>
    <x:row r="21">
      <x:c r="B21" s="38"/>
    </x:row>
    <x:row r="22">
      <x:c r="A22" t="str">
        <x:v>Direct-expense reconciliation</x:v>
      </x:c>
      <x:c r="B22" s="38" t="n">
        <x:f>B13-('Unit Economics'!B16+B11+B12)</x:f>
        <x:v>0</x:v>
      </x:c>
    </x:row>
    <x:row r="24" ht="23" customHeight="1">
      <x:c r="A24" s="10" t="str">
        <x:v>BOUNDARIES</x:v>
      </x:c>
      <x:c r="B24" s="10"/>
      <x:c r="C24" s="10"/>
      <x:c r="D24" s="10"/>
    </x:row>
    <x:row r="25">
      <x:c r="A25" t="str">
        <x:v>Included</x:v>
      </x:c>
      <x:c r="B25" t="str">
        <x:v>Wages, burden, direct materials, travel, payment fees, per-job sales and fixed costs</x:v>
      </x:c>
    </x:row>
    <x:row r="26">
      <x:c r="A26" t="str">
        <x:v>Excluded</x:v>
      </x:c>
      <x:c r="B26" t="str">
        <x:v>Depreciation, amortization, financing, interest, taxes, owner draw, working capital</x:v>
      </x:c>
    </x:row>
    <x:row r="27">
      <x:c r="A27" t="str">
        <x:v>Not EBITDA</x:v>
      </x:c>
      <x:c r="B27" t="str">
        <x:v>No valid depreciation/amortization adjustment is available</x:v>
      </x:c>
    </x:row>
    <x:row r="28">
      <x:c r="A28" t="str">
        <x:v>Zero test</x:v>
      </x:c>
      <x:c r="B28" t="str">
        <x:v>B22 must equal zero; checks no payroll or variable cost duplication</x:v>
      </x:c>
    </x:row>
  </x:sheetData>
  <x:mergeCells>
    <x:mergeCell ref="A1:D2"/>
    <x:mergeCell ref="A3:D3"/>
    <x:mergeCell ref="A24:D24"/>
  </x:mergeCells>
  <x:conditionalFormatting sqref="B22:B22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7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5" customHeight="1">
      <x:c r="A1" s="4" t="str">
        <x:v>MANAGEMENT DECISIONS | SEVEN COMPARABLE CASES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3" customHeight="1">
      <x:c r="A3" s="8" t="str">
        <x:v>Monthly scenario engine; decisions are present-day analyses, not claims of historical actions</x:v>
      </x:c>
      <x:c r="B3" s="8"/>
      <x:c r="C3" s="8"/>
      <x:c r="D3" s="8"/>
      <x:c r="E3" s="8"/>
      <x:c r="F3" s="8"/>
      <x:c r="G3" s="8"/>
      <x:c r="H3" s="8"/>
    </x:row>
    <x:row r="5" ht="24" customHeight="1">
      <x:c r="A5" s="14" t="str">
        <x:v>Measure</x:v>
      </x:c>
      <x:c r="B5" s="14" t="str">
        <x:v>Base case</x:v>
      </x:c>
      <x:c r="C5" s="14" t="str">
        <x:v>Add 1 tech</x:v>
      </x:c>
      <x:c r="D5" s="14" t="str">
        <x:v>Re-route</x:v>
      </x:c>
      <x:c r="E5" s="14" t="str">
        <x:v>Expand farther</x:v>
      </x:c>
      <x:c r="F5" s="14" t="str">
        <x:v>Density first</x:v>
      </x:c>
      <x:c r="G5" s="14" t="str">
        <x:v>Raise prices</x:v>
      </x:c>
      <x:c r="H5" s="14" t="str">
        <x:v>Shift service mix</x:v>
      </x:c>
    </x:row>
    <x:row r="6">
      <x:c r="A6" t="str">
        <x:v>Demand (jobs)</x:v>
      </x:c>
      <x:c r="B6" s="35" t="n">
        <x:f>Inputs!B6</x:f>
        <x:v>680</x:v>
      </x:c>
      <x:c r="C6" s="35" t="n">
        <x:f>B6+Inputs!B30</x:f>
        <x:v>755</x:v>
      </x:c>
      <x:c r="D6" s="35" t="n">
        <x:f>B6+Inputs!B30</x:f>
        <x:v>755</x:v>
      </x:c>
      <x:c r="E6" s="35" t="n">
        <x:f>B6+Inputs!B32</x:f>
        <x:v>755</x:v>
      </x:c>
      <x:c r="F6" s="35" t="n">
        <x:f>B6+Inputs!B32</x:f>
        <x:v>755</x:v>
      </x:c>
      <x:c r="G6" s="35" t="n">
        <x:f>B6*(1-Inputs!B28)</x:f>
        <x:v>652.8</x:v>
      </x:c>
      <x:c r="H6" s="35" t="n">
        <x:f>B6</x:f>
        <x:v>680</x:v>
      </x:c>
    </x:row>
    <x:row r="7">
      <x:c r="A7" t="str">
        <x:v>Technicians</x:v>
      </x:c>
      <x:c r="B7" s="35" t="n">
        <x:f>Inputs!B7</x:f>
        <x:v>5</x:v>
      </x:c>
      <x:c r="C7" s="35" t="n">
        <x:f>B7+1</x:f>
        <x:v>6</x:v>
      </x:c>
      <x:c r="D7" s="35" t="n">
        <x:f>B7</x:f>
        <x:v>5</x:v>
      </x:c>
      <x:c r="E7" s="35" t="n">
        <x:f>B7+1</x:f>
        <x:v>6</x:v>
      </x:c>
      <x:c r="F7" s="35" t="n">
        <x:f>B7</x:f>
        <x:v>5</x:v>
      </x:c>
      <x:c r="G7" s="35" t="n">
        <x:f>B7</x:f>
        <x:v>5</x:v>
      </x:c>
      <x:c r="H7" s="35" t="n">
        <x:f>B7</x:f>
        <x:v>5</x:v>
      </x:c>
    </x:row>
    <x:row r="8">
      <x:c r="A8" t="str">
        <x:v>Travel hours / job</x:v>
      </x:c>
      <x:c r="B8" s="35" t="n">
        <x:f>'Service Mix'!E10</x:f>
        <x:v>0.32999999999999996</x:v>
      </x:c>
      <x:c r="C8" s="35" t="n">
        <x:f>B8</x:f>
        <x:v>0.32999999999999996</x:v>
      </x:c>
      <x:c r="D8" s="35" t="n">
        <x:f>B8-Inputs!B29</x:f>
        <x:v>0.20999999999999996</x:v>
      </x:c>
      <x:c r="E8" s="35" t="n">
        <x:f>Inputs!B31</x:f>
        <x:v>0.57</x:v>
      </x:c>
      <x:c r="F8" s="35" t="n">
        <x:f>Inputs!B33</x:f>
        <x:v>0.21</x:v>
      </x:c>
      <x:c r="G8" s="35" t="n">
        <x:f>B8</x:f>
        <x:v>0.32999999999999996</x:v>
      </x:c>
      <x:c r="H8" s="35" t="n">
        <x:f>'Service Mix'!E6*(1-Inputs!B34)+'Service Mix'!E7*Inputs!B34</x:f>
        <x:v>0.34500000000000003</x:v>
      </x:c>
    </x:row>
    <x:row r="9">
      <x:c r="A9" t="str">
        <x:v>Price / completed job</x:v>
      </x:c>
      <x:c r="B9" s="38" t="n">
        <x:f>'Service Mix'!C10</x:f>
        <x:v>128</x:v>
      </x:c>
      <x:c r="C9" s="38" t="n">
        <x:f>B9</x:f>
        <x:v>128</x:v>
      </x:c>
      <x:c r="D9" s="38" t="n">
        <x:f>B9</x:f>
        <x:v>128</x:v>
      </x:c>
      <x:c r="E9" s="38" t="n">
        <x:f>B9</x:f>
        <x:v>128</x:v>
      </x:c>
      <x:c r="F9" s="38" t="n">
        <x:f>B9</x:f>
        <x:v>128</x:v>
      </x:c>
      <x:c r="G9" s="38" t="n">
        <x:f>B9*(1+Inputs!B27)</x:f>
        <x:v>135.68</x:v>
      </x:c>
      <x:c r="H9" s="38" t="n">
        <x:f>'Service Mix'!C6*(1-Inputs!B34)+'Service Mix'!C7*Inputs!B34</x:f>
        <x:v>132.5</x:v>
      </x:c>
    </x:row>
    <x:row r="10">
      <x:c r="A10" t="str">
        <x:v>Onsite hours / job</x:v>
      </x:c>
      <x:c r="B10" s="35" t="n">
        <x:f>'Service Mix'!D10</x:f>
        <x:v>0.725</x:v>
      </x:c>
      <x:c r="C10" s="35" t="n">
        <x:f>B10</x:f>
        <x:v>0.725</x:v>
      </x:c>
      <x:c r="D10" s="35" t="n">
        <x:f>B10</x:f>
        <x:v>0.725</x:v>
      </x:c>
      <x:c r="E10" s="35" t="n">
        <x:f>B10</x:f>
        <x:v>0.725</x:v>
      </x:c>
      <x:c r="F10" s="35" t="n">
        <x:f>B10</x:f>
        <x:v>0.725</x:v>
      </x:c>
      <x:c r="G10" s="35" t="n">
        <x:f>B10</x:f>
        <x:v>0.725</x:v>
      </x:c>
      <x:c r="H10" s="35" t="n">
        <x:f>'Service Mix'!D6*(1-Inputs!B34)+'Service Mix'!D7*Inputs!B34</x:f>
        <x:v>0.7625000000000001</x:v>
      </x:c>
    </x:row>
    <x:row r="11">
      <x:c r="A11" t="str">
        <x:v>Material cost / job</x:v>
      </x:c>
      <x:c r="B11" s="35" t="n">
        <x:f>'Service Mix'!F10</x:f>
        <x:v>11.399999999999999</x:v>
      </x:c>
      <x:c r="C11" s="35" t="n">
        <x:f>B11</x:f>
        <x:v>11.399999999999999</x:v>
      </x:c>
      <x:c r="D11" s="35" t="n">
        <x:f>B11</x:f>
        <x:v>11.399999999999999</x:v>
      </x:c>
      <x:c r="E11" s="35" t="n">
        <x:f>B11</x:f>
        <x:v>11.399999999999999</x:v>
      </x:c>
      <x:c r="F11" s="35" t="n">
        <x:f>B11</x:f>
        <x:v>11.399999999999999</x:v>
      </x:c>
      <x:c r="G11" s="35" t="n">
        <x:f>B11</x:f>
        <x:v>11.399999999999999</x:v>
      </x:c>
      <x:c r="H11" s="35" t="n">
        <x:f>'Service Mix'!F6*(1-Inputs!B34)+'Service Mix'!F7*Inputs!B34</x:f>
        <x:v>12.600000000000001</x:v>
      </x:c>
    </x:row>
    <x:row r="12">
      <x:c r="A12" t="str">
        <x:v>Effective monthly capacity</x:v>
      </x:c>
      <x:c r="B12" s="35" t="n">
        <x:f>IFERROR(B7*Inputs!B8*(Inputs!B9-Inputs!B10)/(B8+B10)*(1-Inputs!B26),0)</x:f>
        <x:v>700.6635071090047</x:v>
      </x:c>
      <x:c r="C12" s="35" t="n">
        <x:f>IFERROR(C7*Inputs!B8*(Inputs!B9-Inputs!B10)/(C8+C10)*(1-Inputs!B26),0)</x:f>
        <x:v>840.7962085308058</x:v>
      </x:c>
      <x:c r="D12" s="35" t="n">
        <x:f>IFERROR(D7*Inputs!B8*(Inputs!B9-Inputs!B10)/(D8+D10)*(1-Inputs!B26),0)</x:f>
        <x:v>790.5882352941177</x:v>
      </x:c>
      <x:c r="E12" s="35" t="n">
        <x:f>IFERROR(E7*Inputs!B8*(Inputs!B9-Inputs!B10)/(E8+E10)*(1-Inputs!B26),0)</x:f>
        <x:v>684.972972972973</x:v>
      </x:c>
      <x:c r="F12" s="35" t="n">
        <x:f>IFERROR(F7*Inputs!B8*(Inputs!B9-Inputs!B10)/(F8+F10)*(1-Inputs!B26),0)</x:f>
        <x:v>790.5882352941177</x:v>
      </x:c>
      <x:c r="G12" s="35" t="n">
        <x:f>IFERROR(G7*Inputs!B8*(Inputs!B9-Inputs!B10)/(G8+G10)*(1-Inputs!B26),0)</x:f>
        <x:v>700.6635071090047</x:v>
      </x:c>
      <x:c r="H12" s="35" t="n">
        <x:f>IFERROR(H7*Inputs!B8*(Inputs!B9-Inputs!B10)/(H8+H10)*(1-Inputs!B26),0)</x:f>
        <x:v>667.4492099322798</x:v>
      </x:c>
    </x:row>
    <x:row r="13">
      <x:c r="A13" t="str">
        <x:v>Completed jobs</x:v>
      </x:c>
      <x:c r="B13" s="35" t="n">
        <x:f>MIN(B6,B12)</x:f>
        <x:v>680</x:v>
      </x:c>
      <x:c r="C13" s="35" t="n">
        <x:f>MIN(C6,C12)</x:f>
        <x:v>755</x:v>
      </x:c>
      <x:c r="D13" s="35" t="n">
        <x:f>MIN(D6,D12)</x:f>
        <x:v>755</x:v>
      </x:c>
      <x:c r="E13" s="35" t="n">
        <x:f>MIN(E6,E12)</x:f>
        <x:v>684.972972972973</x:v>
      </x:c>
      <x:c r="F13" s="35" t="n">
        <x:f>MIN(F6,F12)</x:f>
        <x:v>755</x:v>
      </x:c>
      <x:c r="G13" s="35" t="n">
        <x:f>MIN(G6,G12)</x:f>
        <x:v>652.8</x:v>
      </x:c>
      <x:c r="H13" s="35" t="n">
        <x:f>MIN(H6,H12)</x:f>
        <x:v>667.4492099322798</x:v>
      </x:c>
    </x:row>
    <x:row r="14">
      <x:c r="A14" t="str">
        <x:v>Unserved demand</x:v>
      </x:c>
      <x:c r="B14" s="35" t="n">
        <x:f>MAX(0,B6-B13)</x:f>
        <x:v>0</x:v>
      </x:c>
      <x:c r="C14" s="35" t="n">
        <x:f>MAX(0,C6-C13)</x:f>
        <x:v>0</x:v>
      </x:c>
      <x:c r="D14" s="35" t="n">
        <x:f>MAX(0,D6-D13)</x:f>
        <x:v>0</x:v>
      </x:c>
      <x:c r="E14" s="35" t="n">
        <x:f>MAX(0,E6-E13)</x:f>
        <x:v>70.02702702702697</x:v>
      </x:c>
      <x:c r="F14" s="35" t="n">
        <x:f>MAX(0,F6-F13)</x:f>
        <x:v>0</x:v>
      </x:c>
      <x:c r="G14" s="35" t="n">
        <x:f>MAX(0,G6-G13)</x:f>
        <x:v>0</x:v>
      </x:c>
      <x:c r="H14" s="35" t="n">
        <x:f>MAX(0,H6-H13)</x:f>
        <x:v>12.550790067720186</x:v>
      </x:c>
    </x:row>
    <x:row r="15">
      <x:c r="A15" t="str">
        <x:v>Utilization</x:v>
      </x:c>
      <x:c r="B15" s="30" t="n">
        <x:f>IFERROR(B13/B12,0)</x:f>
        <x:v>0.970508658008658</x:v>
      </x:c>
      <x:c r="C15" s="30" t="n">
        <x:f>IFERROR(C13/C12,0)</x:f>
        <x:v>0.8979583784271283</x:v>
      </x:c>
      <x:c r="D15" s="30" t="n">
        <x:f>IFERROR(D13/D12,0)</x:f>
        <x:v>0.954985119047619</x:v>
      </x:c>
      <x:c r="E15" s="30" t="n">
        <x:f>IFERROR(E13/E12,0)</x:f>
        <x:v>1</x:v>
      </x:c>
      <x:c r="F15" s="30" t="n">
        <x:f>IFERROR(F13/F12,0)</x:f>
        <x:v>0.954985119047619</x:v>
      </x:c>
      <x:c r="G15" s="30" t="n">
        <x:f>IFERROR(G13/G12,0)</x:f>
        <x:v>0.9316883116883117</x:v>
      </x:c>
      <x:c r="H15" s="30" t="n">
        <x:f>IFERROR(H13/H12,0)</x:f>
        <x:v>1</x:v>
      </x:c>
    </x:row>
    <x:row r="16">
      <x:c r="A16" t="str">
        <x:v>Loaded payroll</x:v>
      </x:c>
      <x:c r="B16" s="38" t="n">
        <x:f>B7*Inputs!B8*Inputs!B9*Inputs!B11*(1+Inputs!B12)</x:f>
        <x:v>24750</x:v>
      </x:c>
      <x:c r="C16" s="38" t="n">
        <x:f>C7*Inputs!B8*Inputs!B9*Inputs!B11*(1+Inputs!B12)</x:f>
        <x:v>29700</x:v>
      </x:c>
      <x:c r="D16" s="38" t="n">
        <x:f>D7*Inputs!B8*Inputs!B9*Inputs!B11*(1+Inputs!B12)</x:f>
        <x:v>24750</x:v>
      </x:c>
      <x:c r="E16" s="38" t="n">
        <x:f>E7*Inputs!B8*Inputs!B9*Inputs!B11*(1+Inputs!B12)</x:f>
        <x:v>29700</x:v>
      </x:c>
      <x:c r="F16" s="38" t="n">
        <x:f>F7*Inputs!B8*Inputs!B9*Inputs!B11*(1+Inputs!B12)</x:f>
        <x:v>24750</x:v>
      </x:c>
      <x:c r="G16" s="38" t="n">
        <x:f>G7*Inputs!B8*Inputs!B9*Inputs!B11*(1+Inputs!B12)</x:f>
        <x:v>24750</x:v>
      </x:c>
      <x:c r="H16" s="38" t="n">
        <x:f>H7*Inputs!B8*Inputs!B9*Inputs!B11*(1+Inputs!B12)</x:f>
        <x:v>24750</x:v>
      </x:c>
    </x:row>
    <x:row r="17">
      <x:c r="A17" t="str">
        <x:v>Variable cost / completed job</x:v>
      </x:c>
      <x:c r="B17" s="38" t="n">
        <x:f>B11+B8*Inputs!B14+B9*Inputs!B15+Inputs!B16</x:f>
        <x:v>20.953999999999997</x:v>
      </x:c>
      <x:c r="C17" s="38" t="n">
        <x:f>C11+C8*Inputs!B14+C9*Inputs!B15+Inputs!B16</x:f>
        <x:v>20.953999999999997</x:v>
      </x:c>
      <x:c r="D17" s="38" t="n">
        <x:f>D11+D8*Inputs!B14+D9*Inputs!B15+Inputs!B16</x:f>
        <x:v>19.874</x:v>
      </x:c>
      <x:c r="E17" s="38" t="n">
        <x:f>E11+E8*Inputs!B14+E9*Inputs!B15+Inputs!B16</x:f>
        <x:v>23.113999999999997</x:v>
      </x:c>
      <x:c r="F17" s="38" t="n">
        <x:f>F11+F8*Inputs!B14+F9*Inputs!B15+Inputs!B16</x:f>
        <x:v>19.874</x:v>
      </x:c>
      <x:c r="G17" s="38" t="n">
        <x:f>G11+G8*Inputs!B14+G9*Inputs!B15+Inputs!B16</x:f>
        <x:v>21.16904</x:v>
      </x:c>
      <x:c r="H17" s="38" t="n">
        <x:f>H11+H8*Inputs!B14+H9*Inputs!B15+Inputs!B16</x:f>
        <x:v>22.415000000000003</x:v>
      </x:c>
    </x:row>
    <x:row r="18">
      <x:c r="A18" t="str">
        <x:v>Fixed fleet equipment</x:v>
      </x:c>
      <x:c r="B18" s="38" t="n">
        <x:f>B7*Inputs!B13</x:f>
        <x:v>2150</x:v>
      </x:c>
      <x:c r="C18" s="38" t="n">
        <x:f>C7*Inputs!B13</x:f>
        <x:v>2580</x:v>
      </x:c>
      <x:c r="D18" s="38" t="n">
        <x:f>D7*Inputs!B13</x:f>
        <x:v>2150</x:v>
      </x:c>
      <x:c r="E18" s="38" t="n">
        <x:f>E7*Inputs!B13</x:f>
        <x:v>2580</x:v>
      </x:c>
      <x:c r="F18" s="38" t="n">
        <x:f>F7*Inputs!B13</x:f>
        <x:v>2150</x:v>
      </x:c>
      <x:c r="G18" s="38" t="n">
        <x:f>G7*Inputs!B13</x:f>
        <x:v>2150</x:v>
      </x:c>
      <x:c r="H18" s="38" t="n">
        <x:f>H7*Inputs!B13</x:f>
        <x:v>2150</x:v>
      </x:c>
    </x:row>
    <x:row r="19">
      <x:c r="A19" t="str">
        <x:v>Decision-specific overhead</x:v>
      </x:c>
      <x:c r="B19" s="38" t="n">
        <x:f>0</x:f>
        <x:v>0</x:v>
      </x:c>
      <x:c r="C19" s="38" t="n">
        <x:f>Inputs!B19</x:f>
        <x:v>500</x:v>
      </x:c>
      <x:c r="D19" s="38" t="n">
        <x:f>Inputs!B20</x:f>
        <x:v>850</x:v>
      </x:c>
      <x:c r="E19" s="38" t="n">
        <x:f>Inputs!B21</x:f>
        <x:v>1150</x:v>
      </x:c>
      <x:c r="F19" s="38" t="n">
        <x:f>Inputs!B20</x:f>
        <x:v>850</x:v>
      </x:c>
      <x:c r="G19" s="38" t="n">
        <x:f>0</x:f>
        <x:v>0</x:v>
      </x:c>
      <x:c r="H19" s="38" t="n">
        <x:f>0</x:f>
        <x:v>0</x:v>
      </x:c>
    </x:row>
    <x:row r="20">
      <x:c r="A20" t="str">
        <x:v>Revenue</x:v>
      </x:c>
      <x:c r="B20" s="38" t="n">
        <x:f>B13*B9</x:f>
        <x:v>87040</x:v>
      </x:c>
      <x:c r="C20" s="38" t="n">
        <x:f>C13*C9</x:f>
        <x:v>96640</x:v>
      </x:c>
      <x:c r="D20" s="38" t="n">
        <x:f>D13*D9</x:f>
        <x:v>96640</x:v>
      </x:c>
      <x:c r="E20" s="38" t="n">
        <x:f>E13*E9</x:f>
        <x:v>87676.54054054055</x:v>
      </x:c>
      <x:c r="F20" s="38" t="n">
        <x:f>F13*F9</x:f>
        <x:v>96640</x:v>
      </x:c>
      <x:c r="G20" s="38" t="n">
        <x:f>G13*G9</x:f>
        <x:v>88571.904</x:v>
      </x:c>
      <x:c r="H20" s="38" t="n">
        <x:f>H13*H9</x:f>
        <x:v>88437.02031602708</x:v>
      </x:c>
    </x:row>
    <x:row r="21">
      <x:c r="A21" t="str">
        <x:v>Direct variable costs</x:v>
      </x:c>
      <x:c r="B21" s="38" t="n">
        <x:f>B13*B17</x:f>
        <x:v>14248.719999999998</x:v>
      </x:c>
      <x:c r="C21" s="38" t="n">
        <x:f>C13*C17</x:f>
        <x:v>15820.269999999999</x:v>
      </x:c>
      <x:c r="D21" s="38" t="n">
        <x:f>D13*D17</x:f>
        <x:v>15004.869999999999</x:v>
      </x:c>
      <x:c r="E21" s="38" t="n">
        <x:f>E13*E17</x:f>
        <x:v>15832.465297297296</x:v>
      </x:c>
      <x:c r="F21" s="38" t="n">
        <x:f>F13*F17</x:f>
        <x:v>15004.869999999999</x:v>
      </x:c>
      <x:c r="G21" s="38" t="n">
        <x:f>G13*G17</x:f>
        <x:v>13819.149311999998</x:v>
      </x:c>
      <x:c r="H21" s="38" t="n">
        <x:f>H13*H17</x:f>
        <x:v>14960.874040632054</x:v>
      </x:c>
    </x:row>
    <x:row r="22">
      <x:c r="A22" t="str">
        <x:v>Shared overhead</x:v>
      </x:c>
      <x:c r="B22" s="38" t="n">
        <x:f>Inputs!B17+Inputs!B18</x:f>
        <x:v>23500</x:v>
      </x:c>
      <x:c r="C22" s="38" t="n">
        <x:f>Inputs!B17+Inputs!B18</x:f>
        <x:v>23500</x:v>
      </x:c>
      <x:c r="D22" s="38" t="n">
        <x:f>Inputs!B17+Inputs!B18</x:f>
        <x:v>23500</x:v>
      </x:c>
      <x:c r="E22" s="38" t="n">
        <x:f>Inputs!B17+Inputs!B18</x:f>
        <x:v>23500</x:v>
      </x:c>
      <x:c r="F22" s="38" t="n">
        <x:f>Inputs!B17+Inputs!B18</x:f>
        <x:v>23500</x:v>
      </x:c>
      <x:c r="G22" s="38" t="n">
        <x:f>Inputs!B17+Inputs!B18</x:f>
        <x:v>23500</x:v>
      </x:c>
      <x:c r="H22" s="38" t="n">
        <x:f>Inputs!B17+Inputs!B18</x:f>
        <x:v>23500</x:v>
      </x:c>
    </x:row>
    <x:row r="23">
      <x:c r="A23" t="str">
        <x:v>Modeled operating profit</x:v>
      </x:c>
      <x:c r="B23" s="38" t="n">
        <x:f>B20-SUM(B16,B18:B19,B21:B22)</x:f>
        <x:v>22391.28</x:v>
      </x:c>
      <x:c r="C23" s="38" t="n">
        <x:f>C20-SUM(C16,C18:C19,C21:C22)</x:f>
        <x:v>24539.73000000001</x:v>
      </x:c>
      <x:c r="D23" s="38" t="n">
        <x:f>D20-SUM(D16,D18:D19,D21:D22)</x:f>
        <x:v>30385.130000000005</x:v>
      </x:c>
      <x:c r="E23" s="38" t="n">
        <x:f>E20-SUM(E16,E18:E19,E21:E22)</x:f>
        <x:v>14914.07524324325</x:v>
      </x:c>
      <x:c r="F23" s="38" t="n">
        <x:f>F20-SUM(F16,F18:F19,F21:F22)</x:f>
        <x:v>30385.130000000005</x:v>
      </x:c>
      <x:c r="G23" s="38" t="n">
        <x:f>G20-SUM(G16,G18:G19,G21:G22)</x:f>
        <x:v>24352.754688</x:v>
      </x:c>
      <x:c r="H23" s="38" t="n">
        <x:f>H20-SUM(H16,H18:H19,H21:H22)</x:f>
        <x:v>23076.146275395018</x:v>
      </x:c>
    </x:row>
    <x:row r="24">
      <x:c r="A24" t="str">
        <x:v>Change vs baseline</x:v>
      </x:c>
      <x:c r="B24" s="38" t="n">
        <x:f>B23-$B$23</x:f>
        <x:v>0</x:v>
      </x:c>
      <x:c r="C24" s="38" t="n">
        <x:f>C23-$B$23</x:f>
        <x:v>2148.4500000000116</x:v>
      </x:c>
      <x:c r="D24" s="38" t="n">
        <x:f>D23-$B$23</x:f>
        <x:v>7993.850000000006</x:v>
      </x:c>
      <x:c r="E24" s="38" t="n">
        <x:f>E23-$B$23</x:f>
        <x:v>-7477.20475675675</x:v>
      </x:c>
      <x:c r="F24" s="38" t="n">
        <x:f>F23-$B$23</x:f>
        <x:v>7993.850000000006</x:v>
      </x:c>
      <x:c r="G24" s="38" t="n">
        <x:f>G23-$B$23</x:f>
        <x:v>1961.474688000002</x:v>
      </x:c>
      <x:c r="H24" s="38" t="n">
        <x:f>H23-$B$23</x:f>
        <x:v>684.8662753950193</x:v>
      </x:c>
    </x:row>
    <x:row r="25">
      <x:c r="A25" t="str">
        <x:v>Capacity pressure</x:v>
      </x:c>
      <x:c r="B25" t="str">
        <x:f>IF(B15&gt;Inputs!B35,"Watch service quality","Within threshold")</x:f>
        <x:v>Watch service quality</x:v>
      </x:c>
      <x:c r="C25" t="str">
        <x:f>IF(C15&gt;Inputs!B35,"Watch service quality","Within threshold")</x:f>
        <x:v>Within threshold</x:v>
      </x:c>
      <x:c r="D25" t="str">
        <x:f>IF(D15&gt;Inputs!B35,"Watch service quality","Within threshold")</x:f>
        <x:v>Watch service quality</x:v>
      </x:c>
      <x:c r="E25" t="str">
        <x:f>IF(E15&gt;Inputs!B35,"Watch service quality","Within threshold")</x:f>
        <x:v>Watch service quality</x:v>
      </x:c>
      <x:c r="F25" t="str">
        <x:f>IF(F15&gt;Inputs!B35,"Watch service quality","Within threshold")</x:f>
        <x:v>Watch service quality</x:v>
      </x:c>
      <x:c r="G25" t="str">
        <x:f>IF(G15&gt;Inputs!B35,"Watch service quality","Within threshold")</x:f>
        <x:v>Within threshold</x:v>
      </x:c>
      <x:c r="H25" t="str">
        <x:f>IF(H15&gt;Inputs!B35,"Watch service quality","Within threshold")</x:f>
        <x:v>Watch service quality</x:v>
      </x:c>
    </x:row>
    <x:row r="28" ht="23" customHeight="1">
      <x:c r="A28" s="10" t="str">
        <x:v>BOARD-LEVEL DECISION RULE</x:v>
      </x:c>
      <x:c r="B28" s="10"/>
      <x:c r="C28" s="10"/>
      <x:c r="D28" s="10"/>
      <x:c r="E28" s="10"/>
      <x:c r="F28" s="10"/>
      <x:c r="G28" s="10"/>
      <x:c r="H28" s="10"/>
    </x:row>
    <x:row r="29">
      <x:c r="A29" t="str">
        <x:v>Recommendation logic</x:v>
      </x:c>
      <x:c r="B29" t="str">
        <x:v>Favor options that meet demand without avoidable fixed costs</x:v>
      </x:c>
    </x:row>
    <x:row r="30">
      <x:c r="A30" t="str">
        <x:v>Gate 1</x:v>
      </x:c>
      <x:c r="B30" t="str">
        <x:v>Do not expand territory without supportable route economics and dispatch capacity</x:v>
      </x:c>
    </x:row>
    <x:row r="31">
      <x:c r="A31" t="str">
        <x:v>Gate 2</x:v>
      </x:c>
      <x:c r="B31" t="str">
        <x:v>Do not label price increases as profitable without volume and retention testing</x:v>
      </x:c>
    </x:row>
    <x:row r="32">
      <x:c r="A32" t="str">
        <x:v>Gate 3</x:v>
      </x:c>
      <x:c r="B32" t="str">
        <x:v>Flag utilization above 95%; service and schedule quality are not free</x:v>
      </x:c>
    </x:row>
    <x:row r="33">
      <x:c r="A33" t="str">
        <x:v>Model interpretation</x:v>
      </x:c>
      <x:c r="B33" t="str">
        <x:v>Values are monthly, hypothetical and intended to be challenged</x:v>
      </x:c>
    </x:row>
  </x:sheetData>
  <x:mergeCells>
    <x:mergeCell ref="A1:H2"/>
    <x:mergeCell ref="A3:H3"/>
    <x:mergeCell ref="A28:H28"/>
  </x:mergeCells>
  <x:pageMargins left="0.7" right="0.7" top="0.75" bottom="0.75" header="0.3" footer="0.3"/>
  <x:drawing xmlns:r="http://schemas.openxmlformats.org/officeDocument/2006/relationships" r:id="Rb04a636ca70840f2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4" t="str">
        <x:v>SEASONAL DEMAND | CAPACITY BOTTLENECKS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3" customHeight="1">
      <x:c r="A3" s="8" t="str">
        <x:v>Constant five-technician staffing illustration. Season factors are assumptions, not observed activity.</x:v>
      </x:c>
      <x:c r="B3" s="8"/>
      <x:c r="C3" s="8"/>
      <x:c r="D3" s="8"/>
      <x:c r="E3" s="8"/>
      <x:c r="F3" s="8"/>
      <x:c r="G3" s="8"/>
      <x:c r="H3" s="8"/>
    </x:row>
    <x:row r="5" ht="24" customHeight="1">
      <x:c r="A5" s="14" t="str">
        <x:v>Month</x:v>
      </x:c>
      <x:c r="B5" s="14" t="str">
        <x:v>Raw index</x:v>
      </x:c>
      <x:c r="C5" s="14" t="str">
        <x:v>Norm. demand</x:v>
      </x:c>
      <x:c r="D5" s="14" t="str">
        <x:v>Demand jobs</x:v>
      </x:c>
      <x:c r="E5" s="14" t="str">
        <x:v>Capacity jobs</x:v>
      </x:c>
      <x:c r="F5" s="14" t="str">
        <x:v>Served jobs</x:v>
      </x:c>
      <x:c r="G5" s="14" t="str">
        <x:v>Deferred jobs</x:v>
      </x:c>
      <x:c r="H5" s="14" t="str">
        <x:v>Operating profit ($)</x:v>
      </x:c>
    </x:row>
    <x:row r="6">
      <x:c r="A6" t="str">
        <x:v>Jan</x:v>
      </x:c>
      <x:c r="B6" t="n">
        <x:v>0.6</x:v>
      </x:c>
      <x:c r="C6" s="30" t="n">
        <x:f>B6/AVERAGE($B$6:$B$17)</x:f>
        <x:v>0.6</x:v>
      </x:c>
      <x:c r="D6" t="n">
        <x:f>Inputs!B6*C6</x:f>
        <x:v>408</x:v>
      </x:c>
      <x:c r="E6" t="n">
        <x:f>Capacity!B12</x:f>
        <x:v>700.6635071090047</x:v>
      </x:c>
      <x:c r="F6" t="n">
        <x:f>MIN(D6,E6)</x:f>
        <x:v>408</x:v>
      </x:c>
      <x:c r="G6" t="n">
        <x:f>MAX(0,D6-E6)</x:f>
        <x:v>0</x:v>
      </x:c>
      <x:c r="H6" s="38" t="n">
        <x:f>F6*('Unit Economics'!B5-'Unit Economics'!B10)-Profitability!B11-Profitability!B12-Inputs!B17-Inputs!B18</x:f>
        <x:v>-6725.231999999996</x:v>
      </x:c>
    </x:row>
    <x:row r="7">
      <x:c r="A7" t="str">
        <x:v>Feb</x:v>
      </x:c>
      <x:c r="B7" t="n">
        <x:v>0.65</x:v>
      </x:c>
      <x:c r="C7" s="30" t="n">
        <x:f>B7/AVERAGE($B$6:$B$17)</x:f>
        <x:v>0.65</x:v>
      </x:c>
      <x:c r="D7" t="n">
        <x:f>Inputs!B6*C7</x:f>
        <x:v>442</x:v>
      </x:c>
      <x:c r="E7" t="n">
        <x:f>Capacity!B12</x:f>
        <x:v>700.6635071090047</x:v>
      </x:c>
      <x:c r="F7" t="n">
        <x:f>MIN(D7,E7)</x:f>
        <x:v>442</x:v>
      </x:c>
      <x:c r="G7" t="n">
        <x:f>MAX(0,D7-E7)</x:f>
        <x:v>0</x:v>
      </x:c>
      <x:c r="H7" s="38" t="n">
        <x:f>F7*('Unit Economics'!B5-'Unit Economics'!B10)-Profitability!B11-Profitability!B12-Inputs!B17-Inputs!B18</x:f>
        <x:v>-3085.667999999998</x:v>
      </x:c>
    </x:row>
    <x:row r="8">
      <x:c r="A8" t="str">
        <x:v>Mar</x:v>
      </x:c>
      <x:c r="B8" t="n">
        <x:v>0.8</x:v>
      </x:c>
      <x:c r="C8" s="30" t="n">
        <x:f>B8/AVERAGE($B$6:$B$17)</x:f>
        <x:v>0.8</x:v>
      </x:c>
      <x:c r="D8" t="n">
        <x:f>Inputs!B6*C8</x:f>
        <x:v>544</x:v>
      </x:c>
      <x:c r="E8" t="n">
        <x:f>Capacity!B12</x:f>
        <x:v>700.6635071090047</x:v>
      </x:c>
      <x:c r="F8" t="n">
        <x:f>MIN(D8,E8)</x:f>
        <x:v>544</x:v>
      </x:c>
      <x:c r="G8" t="n">
        <x:f>MAX(0,D8-E8)</x:f>
        <x:v>0</x:v>
      </x:c>
      <x:c r="H8" s="38" t="n">
        <x:f>F8*('Unit Economics'!B5-'Unit Economics'!B10)-Profitability!B11-Profitability!B12-Inputs!B17-Inputs!B18</x:f>
        <x:v>7833.024000000005</x:v>
      </x:c>
    </x:row>
    <x:row r="9">
      <x:c r="A9" t="str">
        <x:v>Apr</x:v>
      </x:c>
      <x:c r="B9" t="n">
        <x:v>1.05</x:v>
      </x:c>
      <x:c r="C9" s="30" t="n">
        <x:f>B9/AVERAGE($B$6:$B$17)</x:f>
        <x:v>1.05</x:v>
      </x:c>
      <x:c r="D9" t="n">
        <x:f>Inputs!B6*C9</x:f>
        <x:v>714</x:v>
      </x:c>
      <x:c r="E9" t="n">
        <x:f>Capacity!B12</x:f>
        <x:v>700.6635071090047</x:v>
      </x:c>
      <x:c r="F9" t="n">
        <x:f>MIN(D9,E9)</x:f>
        <x:v>700.6635071090047</x:v>
      </x:c>
      <x:c r="G9" t="n">
        <x:f>MAX(0,D9-E9)</x:f>
        <x:v>13.33649289099526</x:v>
      </x:c>
      <x:c r="H9" s="38" t="n">
        <x:f>F9*('Unit Economics'!B5-'Unit Economics'!B10)-Profitability!B11-Profitability!B12-Inputs!B17-Inputs!B18</x:f>
        <x:v>24603.22578199052</x:v>
      </x:c>
    </x:row>
    <x:row r="10">
      <x:c r="A10" t="str">
        <x:v>May</x:v>
      </x:c>
      <x:c r="B10" t="n">
        <x:v>1.2</x:v>
      </x:c>
      <x:c r="C10" s="30" t="n">
        <x:f>B10/AVERAGE($B$6:$B$17)</x:f>
        <x:v>1.2</x:v>
      </x:c>
      <x:c r="D10" t="n">
        <x:f>Inputs!B6*C10</x:f>
        <x:v>816</x:v>
      </x:c>
      <x:c r="E10" t="n">
        <x:f>Capacity!B12</x:f>
        <x:v>700.6635071090047</x:v>
      </x:c>
      <x:c r="F10" t="n">
        <x:f>MIN(D10,E10)</x:f>
        <x:v>700.6635071090047</x:v>
      </x:c>
      <x:c r="G10" t="n">
        <x:f>MAX(0,D10-E10)</x:f>
        <x:v>115.33649289099526</x:v>
      </x:c>
      <x:c r="H10" s="38" t="n">
        <x:f>F10*('Unit Economics'!B5-'Unit Economics'!B10)-Profitability!B11-Profitability!B12-Inputs!B17-Inputs!B18</x:f>
        <x:v>24603.22578199052</x:v>
      </x:c>
    </x:row>
    <x:row r="11">
      <x:c r="A11" t="str">
        <x:v>Jun</x:v>
      </x:c>
      <x:c r="B11" t="n">
        <x:v>1.4</x:v>
      </x:c>
      <x:c r="C11" s="30" t="n">
        <x:f>B11/AVERAGE($B$6:$B$17)</x:f>
        <x:v>1.4</x:v>
      </x:c>
      <x:c r="D11" t="n">
        <x:f>Inputs!B6*C11</x:f>
        <x:v>951.9999999999999</x:v>
      </x:c>
      <x:c r="E11" t="n">
        <x:f>Capacity!B12</x:f>
        <x:v>700.6635071090047</x:v>
      </x:c>
      <x:c r="F11" t="n">
        <x:f>MIN(D11,E11)</x:f>
        <x:v>700.6635071090047</x:v>
      </x:c>
      <x:c r="G11" t="n">
        <x:f>MAX(0,D11-E11)</x:f>
        <x:v>251.33649289099515</x:v>
      </x:c>
      <x:c r="H11" s="38" t="n">
        <x:f>F11*('Unit Economics'!B5-'Unit Economics'!B10)-Profitability!B11-Profitability!B12-Inputs!B17-Inputs!B18</x:f>
        <x:v>24603.22578199052</x:v>
      </x:c>
    </x:row>
    <x:row r="12">
      <x:c r="A12" t="str">
        <x:v>Jul</x:v>
      </x:c>
      <x:c r="B12" t="n">
        <x:v>1.45</x:v>
      </x:c>
      <x:c r="C12" s="30" t="n">
        <x:f>B12/AVERAGE($B$6:$B$17)</x:f>
        <x:v>1.45</x:v>
      </x:c>
      <x:c r="D12" t="n">
        <x:f>Inputs!B6*C12</x:f>
        <x:v>986</x:v>
      </x:c>
      <x:c r="E12" t="n">
        <x:f>Capacity!B12</x:f>
        <x:v>700.6635071090047</x:v>
      </x:c>
      <x:c r="F12" t="n">
        <x:f>MIN(D12,E12)</x:f>
        <x:v>700.6635071090047</x:v>
      </x:c>
      <x:c r="G12" t="n">
        <x:f>MAX(0,D12-E12)</x:f>
        <x:v>285.33649289099526</x:v>
      </x:c>
      <x:c r="H12" s="38" t="n">
        <x:f>F12*('Unit Economics'!B5-'Unit Economics'!B10)-Profitability!B11-Profitability!B12-Inputs!B17-Inputs!B18</x:f>
        <x:v>24603.22578199052</x:v>
      </x:c>
    </x:row>
    <x:row r="13">
      <x:c r="A13" t="str">
        <x:v>Aug</x:v>
      </x:c>
      <x:c r="B13" t="n">
        <x:v>1.35</x:v>
      </x:c>
      <x:c r="C13" s="30" t="n">
        <x:f>B13/AVERAGE($B$6:$B$17)</x:f>
        <x:v>1.35</x:v>
      </x:c>
      <x:c r="D13" t="n">
        <x:f>Inputs!B6*C13</x:f>
        <x:v>918.0000000000001</x:v>
      </x:c>
      <x:c r="E13" t="n">
        <x:f>Capacity!B12</x:f>
        <x:v>700.6635071090047</x:v>
      </x:c>
      <x:c r="F13" t="n">
        <x:f>MIN(D13,E13)</x:f>
        <x:v>700.6635071090047</x:v>
      </x:c>
      <x:c r="G13" t="n">
        <x:f>MAX(0,D13-E13)</x:f>
        <x:v>217.33649289099537</x:v>
      </x:c>
      <x:c r="H13" s="38" t="n">
        <x:f>F13*('Unit Economics'!B5-'Unit Economics'!B10)-Profitability!B11-Profitability!B12-Inputs!B17-Inputs!B18</x:f>
        <x:v>24603.22578199052</x:v>
      </x:c>
    </x:row>
    <x:row r="14">
      <x:c r="A14" t="str">
        <x:v>Sep</x:v>
      </x:c>
      <x:c r="B14" t="n">
        <x:v>1.1</x:v>
      </x:c>
      <x:c r="C14" s="30" t="n">
        <x:f>B14/AVERAGE($B$6:$B$17)</x:f>
        <x:v>1.1</x:v>
      </x:c>
      <x:c r="D14" t="n">
        <x:f>Inputs!B6*C14</x:f>
        <x:v>748.0000000000001</x:v>
      </x:c>
      <x:c r="E14" t="n">
        <x:f>Capacity!B12</x:f>
        <x:v>700.6635071090047</x:v>
      </x:c>
      <x:c r="F14" t="n">
        <x:f>MIN(D14,E14)</x:f>
        <x:v>700.6635071090047</x:v>
      </x:c>
      <x:c r="G14" t="n">
        <x:f>MAX(0,D14-E14)</x:f>
        <x:v>47.33649289099537</x:v>
      </x:c>
      <x:c r="H14" s="38" t="n">
        <x:f>F14*('Unit Economics'!B5-'Unit Economics'!B10)-Profitability!B11-Profitability!B12-Inputs!B17-Inputs!B18</x:f>
        <x:v>24603.22578199052</x:v>
      </x:c>
    </x:row>
    <x:row r="15">
      <x:c r="A15" t="str">
        <x:v>Oct</x:v>
      </x:c>
      <x:c r="B15" t="n">
        <x:v>0.95</x:v>
      </x:c>
      <x:c r="C15" s="30" t="n">
        <x:f>B15/AVERAGE($B$6:$B$17)</x:f>
        <x:v>0.95</x:v>
      </x:c>
      <x:c r="D15" t="n">
        <x:f>Inputs!B6*C15</x:f>
        <x:v>646</x:v>
      </x:c>
      <x:c r="E15" t="n">
        <x:f>Capacity!B12</x:f>
        <x:v>700.6635071090047</x:v>
      </x:c>
      <x:c r="F15" t="n">
        <x:f>MIN(D15,E15)</x:f>
        <x:v>646</x:v>
      </x:c>
      <x:c r="G15" t="n">
        <x:f>MAX(0,D15-E15)</x:f>
        <x:v>0</x:v>
      </x:c>
      <x:c r="H15" s="38" t="n">
        <x:f>F15*('Unit Economics'!B5-'Unit Economics'!B10)-Profitability!B11-Profitability!B12-Inputs!B17-Inputs!B18</x:f>
        <x:v>18751.716</x:v>
      </x:c>
    </x:row>
    <x:row r="16">
      <x:c r="A16" t="str">
        <x:v>Nov</x:v>
      </x:c>
      <x:c r="B16" t="n">
        <x:v>0.8</x:v>
      </x:c>
      <x:c r="C16" s="30" t="n">
        <x:f>B16/AVERAGE($B$6:$B$17)</x:f>
        <x:v>0.8</x:v>
      </x:c>
      <x:c r="D16" t="n">
        <x:f>Inputs!B6*C16</x:f>
        <x:v>544</x:v>
      </x:c>
      <x:c r="E16" t="n">
        <x:f>Capacity!B12</x:f>
        <x:v>700.6635071090047</x:v>
      </x:c>
      <x:c r="F16" t="n">
        <x:f>MIN(D16,E16)</x:f>
        <x:v>544</x:v>
      </x:c>
      <x:c r="G16" t="n">
        <x:f>MAX(0,D16-E16)</x:f>
        <x:v>0</x:v>
      </x:c>
      <x:c r="H16" s="38" t="n">
        <x:f>F16*('Unit Economics'!B5-'Unit Economics'!B10)-Profitability!B11-Profitability!B12-Inputs!B17-Inputs!B18</x:f>
        <x:v>7833.024000000005</x:v>
      </x:c>
    </x:row>
    <x:row r="17">
      <x:c r="A17" t="str">
        <x:v>Dec</x:v>
      </x:c>
      <x:c r="B17" t="n">
        <x:v>0.65</x:v>
      </x:c>
      <x:c r="C17" s="30" t="n">
        <x:f>B17/AVERAGE($B$6:$B$17)</x:f>
        <x:v>0.65</x:v>
      </x:c>
      <x:c r="D17" t="n">
        <x:f>Inputs!B6*C17</x:f>
        <x:v>442</x:v>
      </x:c>
      <x:c r="E17" t="n">
        <x:f>Capacity!B12</x:f>
        <x:v>700.6635071090047</x:v>
      </x:c>
      <x:c r="F17" t="n">
        <x:f>MIN(D17,E17)</x:f>
        <x:v>442</x:v>
      </x:c>
      <x:c r="G17" t="n">
        <x:f>MAX(0,D17-E17)</x:f>
        <x:v>0</x:v>
      </x:c>
      <x:c r="H17" s="38" t="n">
        <x:f>F17*('Unit Economics'!B5-'Unit Economics'!B10)-Profitability!B11-Profitability!B12-Inputs!B17-Inputs!B18</x:f>
        <x:v>-3085.667999999998</x:v>
      </x:c>
    </x:row>
    <x:row r="18">
      <x:c r="H18" s="38"/>
    </x:row>
    <x:row r="19">
      <x:c r="A19" t="str">
        <x:v>TOTAL / YEAR</x:v>
      </x:c>
      <x:c r="D19" t="n">
        <x:f>SUM(D6:D17)</x:f>
        <x:v>8160</x:v>
      </x:c>
      <x:c r="E19" t="n">
        <x:f>SUM(E6:E17)</x:f>
        <x:v>8407.962085308058</x:v>
      </x:c>
      <x:c r="F19" t="n">
        <x:f>SUM(F6:F17)</x:f>
        <x:v>7229.98104265403</x:v>
      </x:c>
      <x:c r="G19" t="n">
        <x:f>SUM(G6:G17)</x:f>
        <x:v>930.0189573459717</x:v>
      </x:c>
      <x:c r="H19" s="38" t="n">
        <x:f>SUM(H6:H17)</x:f>
        <x:v>169140.55069194312</x:v>
      </x:c>
    </x:row>
    <x:row r="20">
      <x:c r="A20" t="str">
        <x:v>Deferred demand %</x:v>
      </x:c>
      <x:c r="G20" s="30" t="n">
        <x:f>IFERROR(G19/D19,0)</x:f>
        <x:v>0.11397291143945731</x:v>
      </x:c>
      <x:c r="H20" s="38"/>
    </x:row>
    <x:row r="21">
      <x:c r="A21" t="str">
        <x:v>Monthly average profit</x:v>
      </x:c>
      <x:c r="H21" s="38" t="n">
        <x:f>H19/12</x:f>
        <x:v>14095.04589099526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5" customHeight="1">
      <x:c r="A1" s="4" t="str">
        <x:v>SENSITIVITY | WHAT CAN CHANGE THE DECISION</x:v>
      </x:c>
      <x:c r="B1" s="4"/>
      <x:c r="C1" s="4"/>
      <x:c r="D1" s="4"/>
      <x:c r="E1" s="4"/>
      <x:c r="F1" s="4"/>
      <x:c r="G1" s="4"/>
    </x:row>
    <x:row r="2" ht="25" customHeight="1">
      <x:c r="A2" s="4"/>
      <x:c r="B2" s="4"/>
      <x:c r="C2" s="4"/>
      <x:c r="D2" s="4"/>
      <x:c r="E2" s="4"/>
      <x:c r="F2" s="4"/>
      <x:c r="G2" s="4"/>
    </x:row>
    <x:row r="3" ht="23" customHeight="1">
      <x:c r="A3" s="8" t="str">
        <x:v>Each case stresses demand, pricing, wages or retention with capacity held explicitly</x:v>
      </x:c>
      <x:c r="B3" s="8"/>
      <x:c r="C3" s="8"/>
      <x:c r="D3" s="8"/>
      <x:c r="E3" s="8"/>
      <x:c r="F3" s="8"/>
      <x:c r="G3" s="8"/>
    </x:row>
    <x:row r="5" ht="23" customHeight="1">
      <x:c r="A5" s="10" t="str">
        <x:v>OPERATING PROFIT BY PRICE CHANGE / DEMAND CHANGE</x:v>
      </x:c>
      <x:c r="B5" s="10"/>
      <x:c r="C5" s="10"/>
      <x:c r="D5" s="10"/>
      <x:c r="E5" s="10"/>
      <x:c r="F5" s="10"/>
      <x:c r="G5" s="10"/>
    </x:row>
    <x:row r="7" ht="24" customHeight="1">
      <x:c r="A7" s="14" t="str">
        <x:v>Demand / price</x:v>
      </x:c>
      <x:c r="B7" s="14" t="str">
        <x:v>-10%</x:v>
      </x:c>
      <x:c r="C7" s="14" t="str">
        <x:v>-5%</x:v>
      </x:c>
      <x:c r="D7" s="14" t="str">
        <x:v>Baseline</x:v>
      </x:c>
      <x:c r="E7" s="14" t="str">
        <x:v>+5%</x:v>
      </x:c>
      <x:c r="F7" s="14" t="str">
        <x:v>+10%</x:v>
      </x:c>
    </x:row>
    <x:row r="8">
      <x:c r="B8" s="30" t="n">
        <x:v>-0.1</x:v>
      </x:c>
      <x:c r="C8" s="30" t="n">
        <x:v>-0.05</x:v>
      </x:c>
      <x:c r="D8" s="30" t="n">
        <x:v>0</x:v>
      </x:c>
      <x:c r="E8" s="30" t="n">
        <x:v>0.05</x:v>
      </x:c>
      <x:c r="F8" s="30" t="n">
        <x:v>0.1</x:v>
      </x:c>
    </x:row>
    <x:row r="9">
      <x:c r="A9" s="30" t="n">
        <x:v>-0.2</x:v>
      </x:c>
      <x:c r="B9" s="38" t="n">
        <x:f>MIN(Capacity!B12,Inputs!B6*(1+$A9))*('Unit Economics'!B5*(1+B$8)*(1-Inputs!B15)-'Unit Economics'!B6-'Unit Economics'!B7-Inputs!B16)-Profitability!B11-Profitability!B12-Inputs!B17-Inputs!B18</x:f>
        <x:v>1064.7935999999972</x:v>
      </x:c>
      <x:c r="C9" s="38" t="n">
        <x:f>MIN(Capacity!B12,Inputs!B6*(1+$A9))*('Unit Economics'!B5*(1+C$8)*(1-Inputs!B15)-'Unit Economics'!B6-'Unit Economics'!B7-Inputs!B16)-Profitability!B11-Profitability!B12-Inputs!B17-Inputs!B18</x:f>
        <x:v>4448.908799999997</x:v>
      </x:c>
      <x:c r="D9" s="38" t="n">
        <x:f>MIN(Capacity!B12,Inputs!B6*(1+$A9))*('Unit Economics'!B5*(1+D$8)*(1-Inputs!B15)-'Unit Economics'!B6-'Unit Economics'!B7-Inputs!B16)-Profitability!B11-Profitability!B12-Inputs!B17-Inputs!B18</x:f>
        <x:v>7833.023999999998</x:v>
      </x:c>
      <x:c r="E9" s="38" t="n">
        <x:f>MIN(Capacity!B12,Inputs!B6*(1+$A9))*('Unit Economics'!B5*(1+E$8)*(1-Inputs!B15)-'Unit Economics'!B6-'Unit Economics'!B7-Inputs!B16)-Profitability!B11-Profitability!B12-Inputs!B17-Inputs!B18</x:f>
        <x:v>11217.13919999999</x:v>
      </x:c>
      <x:c r="F9" s="38" t="n">
        <x:f>MIN(Capacity!B12,Inputs!B6*(1+$A9))*('Unit Economics'!B5*(1+F$8)*(1-Inputs!B15)-'Unit Economics'!B6-'Unit Economics'!B7-Inputs!B16)-Profitability!B11-Profitability!B12-Inputs!B17-Inputs!B18</x:f>
        <x:v>14601.254400000005</x:v>
      </x:c>
    </x:row>
    <x:row r="10">
      <x:c r="A10" s="30" t="n">
        <x:v>-0.1</x:v>
      </x:c>
      <x:c r="B10" s="38" t="n">
        <x:f>MIN(Capacity!B12,Inputs!B6*(1+$A10))*('Unit Economics'!B5*(1+B$8)*(1-Inputs!B15)-'Unit Economics'!B6-'Unit Economics'!B7-Inputs!B16)-Profitability!B11-Profitability!B12-Inputs!B17-Inputs!B18</x:f>
        <x:v>7497.892800000001</x:v>
      </x:c>
      <x:c r="C10" s="38" t="n">
        <x:f>MIN(Capacity!B12,Inputs!B6*(1+$A10))*('Unit Economics'!B5*(1+C$8)*(1-Inputs!B15)-'Unit Economics'!B6-'Unit Economics'!B7-Inputs!B16)-Profitability!B11-Profitability!B12-Inputs!B17-Inputs!B18</x:f>
        <x:v>11305.022399999994</x:v>
      </x:c>
      <x:c r="D10" s="38" t="n">
        <x:f>MIN(Capacity!B12,Inputs!B6*(1+$A10))*('Unit Economics'!B5*(1+D$8)*(1-Inputs!B15)-'Unit Economics'!B6-'Unit Economics'!B7-Inputs!B16)-Profitability!B11-Profitability!B12-Inputs!B17-Inputs!B18</x:f>
        <x:v>15112.151999999995</x:v>
      </x:c>
      <x:c r="E10" s="38" t="n">
        <x:f>MIN(Capacity!B12,Inputs!B6*(1+$A10))*('Unit Economics'!B5*(1+E$8)*(1-Inputs!B15)-'Unit Economics'!B6-'Unit Economics'!B7-Inputs!B16)-Profitability!B11-Profitability!B12-Inputs!B17-Inputs!B18</x:f>
        <x:v>18919.281599999988</x:v>
      </x:c>
      <x:c r="F10" s="38" t="n">
        <x:f>MIN(Capacity!B12,Inputs!B6*(1+$A10))*('Unit Economics'!B5*(1+F$8)*(1-Inputs!B15)-'Unit Economics'!B6-'Unit Economics'!B7-Inputs!B16)-Profitability!B11-Profitability!B12-Inputs!B17-Inputs!B18</x:f>
        <x:v>22726.411200000002</x:v>
      </x:c>
    </x:row>
    <x:row r="11">
      <x:c r="A11" s="30" t="n">
        <x:v>0</x:v>
      </x:c>
      <x:c r="B11" s="38" t="n">
        <x:f>MIN(Capacity!B12,Inputs!B6*(1+$A11))*('Unit Economics'!B5*(1+B$8)*(1-Inputs!B15)-'Unit Economics'!B6-'Unit Economics'!B7-Inputs!B16)-Profitability!B11-Profitability!B12-Inputs!B17-Inputs!B18</x:f>
        <x:v>13930.991999999998</x:v>
      </x:c>
      <x:c r="C11" s="38" t="n">
        <x:f>MIN(Capacity!B12,Inputs!B6*(1+$A11))*('Unit Economics'!B5*(1+C$8)*(1-Inputs!B15)-'Unit Economics'!B6-'Unit Economics'!B7-Inputs!B16)-Profitability!B11-Profitability!B12-Inputs!B17-Inputs!B18</x:f>
        <x:v>18161.136</x:v>
      </x:c>
      <x:c r="D11" s="38" t="n">
        <x:f>MIN(Capacity!B12,Inputs!B6*(1+$A11))*('Unit Economics'!B5*(1+D$8)*(1-Inputs!B15)-'Unit Economics'!B6-'Unit Economics'!B7-Inputs!B16)-Profitability!B11-Profitability!B12-Inputs!B17-Inputs!B18</x:f>
        <x:v>22391.28</x:v>
      </x:c>
      <x:c r="E11" s="38" t="n">
        <x:f>MIN(Capacity!B12,Inputs!B6*(1+$A11))*('Unit Economics'!B5*(1+E$8)*(1-Inputs!B15)-'Unit Economics'!B6-'Unit Economics'!B7-Inputs!B16)-Profitability!B11-Profitability!B12-Inputs!B17-Inputs!B18</x:f>
        <x:v>26621.424</x:v>
      </x:c>
      <x:c r="F11" s="38" t="n">
        <x:f>MIN(Capacity!B12,Inputs!B6*(1+$A11))*('Unit Economics'!B5*(1+F$8)*(1-Inputs!B15)-'Unit Economics'!B6-'Unit Economics'!B7-Inputs!B16)-Profitability!B11-Profitability!B12-Inputs!B17-Inputs!B18</x:f>
        <x:v>30851.568000000014</x:v>
      </x:c>
    </x:row>
    <x:row r="12">
      <x:c r="A12" s="30" t="n">
        <x:v>0.1</x:v>
      </x:c>
      <x:c r="B12" s="38" t="n">
        <x:f>MIN(Capacity!B12,Inputs!B6*(1+$A12))*('Unit Economics'!B5*(1+B$8)*(1-Inputs!B15)-'Unit Economics'!B6-'Unit Economics'!B7-Inputs!B16)-Profitability!B11-Profitability!B12-Inputs!B17-Inputs!B18</x:f>
        <x:v>15885.850691943124</x:v>
      </x:c>
      <x:c r="C12" s="38" t="n">
        <x:f>MIN(Capacity!B12,Inputs!B6*(1+$A12))*('Unit Economics'!B5*(1+C$8)*(1-Inputs!B15)-'Unit Economics'!B6-'Unit Economics'!B7-Inputs!B16)-Profitability!B11-Profitability!B12-Inputs!B17-Inputs!B18</x:f>
        <x:v>20244.538236966822</x:v>
      </x:c>
      <x:c r="D12" s="38" t="n">
        <x:f>MIN(Capacity!B12,Inputs!B6*(1+$A12))*('Unit Economics'!B5*(1+D$8)*(1-Inputs!B15)-'Unit Economics'!B6-'Unit Economics'!B7-Inputs!B16)-Profitability!B11-Profitability!B12-Inputs!B17-Inputs!B18</x:f>
        <x:v>24603.22578199052</x:v>
      </x:c>
      <x:c r="E12" s="38" t="n">
        <x:f>MIN(Capacity!B12,Inputs!B6*(1+$A12))*('Unit Economics'!B5*(1+E$8)*(1-Inputs!B15)-'Unit Economics'!B6-'Unit Economics'!B7-Inputs!B16)-Profitability!B11-Profitability!B12-Inputs!B17-Inputs!B18</x:f>
        <x:v>28961.913327014205</x:v>
      </x:c>
      <x:c r="F12" s="38" t="n">
        <x:f>MIN(Capacity!B12,Inputs!B6*(1+$A12))*('Unit Economics'!B5*(1+F$8)*(1-Inputs!B15)-'Unit Economics'!B6-'Unit Economics'!B7-Inputs!B16)-Profitability!B11-Profitability!B12-Inputs!B17-Inputs!B18</x:f>
        <x:v>33320.60087203793</x:v>
      </x:c>
    </x:row>
    <x:row r="13">
      <x:c r="A13" s="30" t="n">
        <x:v>0.2</x:v>
      </x:c>
      <x:c r="B13" s="38" t="n">
        <x:f>MIN(Capacity!B12,Inputs!B6*(1+$A13))*('Unit Economics'!B5*(1+B$8)*(1-Inputs!B15)-'Unit Economics'!B6-'Unit Economics'!B7-Inputs!B16)-Profitability!B11-Profitability!B12-Inputs!B17-Inputs!B18</x:f>
        <x:v>15885.850691943124</x:v>
      </x:c>
      <x:c r="C13" s="38" t="n">
        <x:f>MIN(Capacity!B12,Inputs!B6*(1+$A13))*('Unit Economics'!B5*(1+C$8)*(1-Inputs!B15)-'Unit Economics'!B6-'Unit Economics'!B7-Inputs!B16)-Profitability!B11-Profitability!B12-Inputs!B17-Inputs!B18</x:f>
        <x:v>20244.538236966822</x:v>
      </x:c>
      <x:c r="D13" s="38" t="n">
        <x:f>MIN(Capacity!B12,Inputs!B6*(1+$A13))*('Unit Economics'!B5*(1+D$8)*(1-Inputs!B15)-'Unit Economics'!B6-'Unit Economics'!B7-Inputs!B16)-Profitability!B11-Profitability!B12-Inputs!B17-Inputs!B18</x:f>
        <x:v>24603.22578199052</x:v>
      </x:c>
      <x:c r="E13" s="38" t="n">
        <x:f>MIN(Capacity!B12,Inputs!B6*(1+$A13))*('Unit Economics'!B5*(1+E$8)*(1-Inputs!B15)-'Unit Economics'!B6-'Unit Economics'!B7-Inputs!B16)-Profitability!B11-Profitability!B12-Inputs!B17-Inputs!B18</x:f>
        <x:v>28961.913327014205</x:v>
      </x:c>
      <x:c r="F13" s="38" t="n">
        <x:f>MIN(Capacity!B12,Inputs!B6*(1+$A13))*('Unit Economics'!B5*(1+F$8)*(1-Inputs!B15)-'Unit Economics'!B6-'Unit Economics'!B7-Inputs!B16)-Profitability!B11-Profitability!B12-Inputs!B17-Inputs!B18</x:f>
        <x:v>33320.60087203793</x:v>
      </x:c>
    </x:row>
    <x:row r="16" ht="23" customHeight="1">
      <x:c r="A16" s="10" t="str">
        <x:v>WAGE RATE STRESS | BASELINE OPERATING PROFIT</x:v>
      </x:c>
      <x:c r="B16" s="10"/>
      <x:c r="C16" s="10"/>
      <x:c r="D16" s="10"/>
      <x:c r="E16" s="10"/>
      <x:c r="F16" s="10"/>
      <x:c r="G16" s="10"/>
    </x:row>
    <x:row r="18" ht="24" customHeight="1">
      <x:c r="A18" s="14" t="str">
        <x:v>Hourly wage ($)</x:v>
      </x:c>
      <x:c r="B18" s="14" t="str">
        <x:v>Loaded monthly payroll ($)</x:v>
      </x:c>
      <x:c r="C18" s="14" t="str">
        <x:v>Modeled operating profit ($)</x:v>
      </x:c>
    </x:row>
    <x:row r="19">
      <x:c r="A19" s="38" t="n">
        <x:v>18</x:v>
      </x:c>
      <x:c r="B19" s="38" t="n">
        <x:f>Inputs!B7*Inputs!B8*Inputs!B9*A19*(1+Inputs!B12)</x:f>
        <x:v>19800</x:v>
      </x:c>
      <x:c r="C19" s="38" t="n">
        <x:f>Profitability!B19+Profitability!B11-B19</x:f>
        <x:v>27341.28</x:v>
      </x:c>
    </x:row>
    <x:row r="20">
      <x:c r="A20" s="38" t="n">
        <x:v>20</x:v>
      </x:c>
      <x:c r="B20" s="38" t="n">
        <x:f>Inputs!B7*Inputs!B8*Inputs!B9*A20*(1+Inputs!B12)</x:f>
        <x:v>22000</x:v>
      </x:c>
      <x:c r="C20" s="38" t="n">
        <x:f>Profitability!B19+Profitability!B11-B20</x:f>
        <x:v>25141.28</x:v>
      </x:c>
    </x:row>
    <x:row r="21">
      <x:c r="A21" s="38" t="n">
        <x:v>22.5</x:v>
      </x:c>
      <x:c r="B21" s="38" t="n">
        <x:f>Inputs!B7*Inputs!B8*Inputs!B9*A21*(1+Inputs!B12)</x:f>
        <x:v>24750</x:v>
      </x:c>
      <x:c r="C21" s="38" t="n">
        <x:f>Profitability!B19+Profitability!B11-B21</x:f>
        <x:v>22391.28</x:v>
      </x:c>
    </x:row>
    <x:row r="22">
      <x:c r="A22" s="38" t="n">
        <x:v>25</x:v>
      </x:c>
      <x:c r="B22" s="38" t="n">
        <x:f>Inputs!B7*Inputs!B8*Inputs!B9*A22*(1+Inputs!B12)</x:f>
        <x:v>27500</x:v>
      </x:c>
      <x:c r="C22" s="38" t="n">
        <x:f>Profitability!B19+Profitability!B11-B22</x:f>
        <x:v>19641.28</x:v>
      </x:c>
    </x:row>
    <x:row r="23">
      <x:c r="A23" s="38" t="n">
        <x:v>30</x:v>
      </x:c>
      <x:c r="B23" s="38" t="n">
        <x:f>Inputs!B7*Inputs!B8*Inputs!B9*A23*(1+Inputs!B12)</x:f>
        <x:v>33000</x:v>
      </x:c>
      <x:c r="C23" s="38" t="n">
        <x:f>Profitability!B19+Profitability!B11-B23</x:f>
        <x:v>14141.279999999999</x:v>
      </x:c>
    </x:row>
    <x:row r="26" ht="23" customHeight="1">
      <x:c r="A26" s="10" t="str">
        <x:v>RETENTION STRESS | ANNUAL RECURRING GROSS CONTRIBUTION</x:v>
      </x:c>
      <x:c r="B26" s="10"/>
      <x:c r="C26" s="10"/>
      <x:c r="D26" s="10"/>
      <x:c r="E26" s="10"/>
      <x:c r="F26" s="10"/>
      <x:c r="G26" s="10"/>
    </x:row>
    <x:row r="28" ht="24" customHeight="1">
      <x:c r="A28" s="14" t="str">
        <x:v>Annual retention</x:v>
      </x:c>
      <x:c r="B28" s="14" t="str">
        <x:v>Undiscounted lifetime gross contribution / cust. ($)</x:v>
      </x:c>
    </x:row>
    <x:row r="29">
      <x:c r="A29" s="30" t="n">
        <x:v>0.6</x:v>
      </x:c>
      <x:c r="B29" s="38" t="n">
        <x:f>'Unit Economics'!B18/(1-A29)</x:f>
        <x:v>6422.76</x:v>
      </x:c>
    </x:row>
    <x:row r="30">
      <x:c r="A30" s="30" t="n">
        <x:v>0.7</x:v>
      </x:c>
      <x:c r="B30" s="38" t="n">
        <x:f>'Unit Economics'!B18/(1-A30)</x:f>
        <x:v>8563.68</x:v>
      </x:c>
    </x:row>
    <x:row r="31">
      <x:c r="A31" s="30" t="n">
        <x:v>0.8</x:v>
      </x:c>
      <x:c r="B31" s="38" t="n">
        <x:f>'Unit Economics'!B18/(1-A31)</x:f>
        <x:v>12845.520000000004</x:v>
      </x:c>
    </x:row>
    <x:row r="32">
      <x:c r="A32" s="30" t="n">
        <x:v>0.85</x:v>
      </x:c>
      <x:c r="B32" s="38" t="n">
        <x:f>'Unit Economics'!B18/(1-A32)</x:f>
        <x:v>17127.36</x:v>
      </x:c>
    </x:row>
    <x:row r="33">
      <x:c r="A33" s="30" t="n">
        <x:v>0.9</x:v>
      </x:c>
      <x:c r="B33" s="38" t="n">
        <x:f>'Unit Economics'!B18/(1-A33)</x:f>
        <x:v>25691.040000000008</x:v>
      </x:c>
    </x:row>
  </x:sheetData>
  <x:mergeCells>
    <x:mergeCell ref="A1:G2"/>
    <x:mergeCell ref="A3:G3"/>
    <x:mergeCell ref="A5:G5"/>
    <x:mergeCell ref="A16:G16"/>
    <x:mergeCell ref="A26:G2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5" customHeight="1">
      <x:c r="A1" s="4" t="str">
        <x:v>EXECUTIVE READOUT | WORKFORCE, ROUTES AND PROFIT</x:v>
      </x:c>
      <x:c r="B1" s="4"/>
      <x:c r="C1" s="4"/>
      <x:c r="D1" s="4"/>
      <x:c r="E1" s="4"/>
      <x:c r="F1" s="4"/>
      <x:c r="G1" s="4"/>
    </x:row>
    <x:row r="2" ht="25" customHeight="1">
      <x:c r="A2" s="4"/>
      <x:c r="B2" s="4"/>
      <x:c r="C2" s="4"/>
      <x:c r="D2" s="4"/>
      <x:c r="E2" s="4"/>
      <x:c r="F2" s="4"/>
      <x:c r="G2" s="4"/>
    </x:row>
    <x:row r="3" ht="23" customHeight="1">
      <x:c r="A3" s="8" t="str">
        <x:v>Formulas below refer to the scenario engine. The narrative states decision boundaries.</x:v>
      </x:c>
      <x:c r="B3" s="8"/>
      <x:c r="C3" s="8"/>
      <x:c r="D3" s="8"/>
      <x:c r="E3" s="8"/>
      <x:c r="F3" s="8"/>
      <x:c r="G3" s="8"/>
    </x:row>
    <x:row r="5">
      <x:c r="A5" t="str">
        <x:v>Base month jobs</x:v>
      </x:c>
      <x:c r="B5" t="n">
        <x:f>Capacity!B13</x:f>
        <x:v>680</x:v>
      </x:c>
    </x:row>
    <x:row r="6">
      <x:c r="A6" t="str">
        <x:v>Base workforce capacity</x:v>
      </x:c>
      <x:c r="B6" t="n">
        <x:f>Capacity!B12</x:f>
        <x:v>700.6635071090047</x:v>
      </x:c>
    </x:row>
    <x:row r="7">
      <x:c r="A7" t="str">
        <x:v>Base modeled monthly revenue</x:v>
      </x:c>
      <x:c r="B7" s="38" t="n">
        <x:f>Profitability!B5</x:f>
        <x:v>87040</x:v>
      </x:c>
    </x:row>
    <x:row r="8">
      <x:c r="A8" t="str">
        <x:v>Base modeled operating profit</x:v>
      </x:c>
      <x:c r="B8" s="38" t="n">
        <x:f>Profitability!B19</x:f>
        <x:v>22391.28</x:v>
      </x:c>
    </x:row>
    <x:row r="9">
      <x:c r="A9" t="str">
        <x:v>Base capacity utilization</x:v>
      </x:c>
      <x:c r="B9" s="30" t="n">
        <x:f>Capacity!B15</x:f>
        <x:v>0.970508658008658</x:v>
      </x:c>
    </x:row>
    <x:row r="10">
      <x:c r="A10" t="str">
        <x:v>Route optimization profit delta</x:v>
      </x:c>
      <x:c r="B10" s="38" t="n">
        <x:f>'Decision Cases'!D24</x:f>
        <x:v>7993.850000000006</x:v>
      </x:c>
    </x:row>
    <x:row r="11">
      <x:c r="A11" t="str">
        <x:v>Hire tech profit delta</x:v>
      </x:c>
      <x:c r="B11" s="38" t="n">
        <x:f>'Decision Cases'!C24</x:f>
        <x:v>2148.4500000000116</x:v>
      </x:c>
    </x:row>
    <x:row r="12">
      <x:c r="A12" t="str">
        <x:v>Dense growth vs distant growth ($)</x:v>
      </x:c>
      <x:c r="B12" s="38" t="n">
        <x:f>'Decision Cases'!F23-'Decision Cases'!E23</x:f>
        <x:v>15471.054756756756</x:v>
      </x:c>
    </x:row>
    <x:row r="15" ht="23" customHeight="1">
      <x:c r="A15" s="10" t="str">
        <x:v>PRELIMINARY MANAGEMENT CONCLUSION</x:v>
      </x:c>
      <x:c r="B15" s="10"/>
      <x:c r="C15" s="10"/>
      <x:c r="D15" s="10"/>
      <x:c r="E15" s="10"/>
      <x:c r="F15" s="10"/>
      <x:c r="G15" s="10"/>
    </x:row>
    <x:row r="16">
      <x:c r="A16" t="str">
        <x:v>Economic constraint</x:v>
      </x:c>
      <x:c r="B16" t="str">
        <x:v>When service density declines, travel consumes paid hours without adding billable capacity.</x:v>
      </x:c>
    </x:row>
    <x:row r="17">
      <x:c r="A17" t="str">
        <x:v>Most influential variables</x:v>
      </x:c>
      <x:c r="B17" t="str">
        <x:v>Travel time, demand density, hourly payroll, service price and fixed overhead.</x:v>
      </x:c>
    </x:row>
    <x:row r="18">
      <x:c r="A18" t="str">
        <x:v>Staffing trade-off</x:v>
      </x:c>
      <x:c r="B18" t="str">
        <x:v>Hiring adds coverage and fixed labor expense; routing frees existing capacity first.</x:v>
      </x:c>
    </x:row>
    <x:row r="19">
      <x:c r="A19" t="str">
        <x:v>Territory trade-off</x:v>
      </x:c>
      <x:c r="B19" t="str">
        <x:v>An expanded map is not a growth strategy unless route capacity and job margin work.</x:v>
      </x:c>
    </x:row>
    <x:row r="20">
      <x:c r="A20" t="str">
        <x:v>Pricing trade-off</x:v>
      </x:c>
      <x:c r="B20" t="str">
        <x:v>Higher quoted rates can be offset by churn, cancellations and reduced demand.</x:v>
      </x:c>
    </x:row>
    <x:row r="21">
      <x:c r="A21" t="str">
        <x:v>Recommended trial</x:v>
      </x:c>
      <x:c r="B21" t="str">
        <x:v>Model a route redesign and demand validation before committing to another hire or territory.</x:v>
      </x:c>
    </x:row>
    <x:row r="22">
      <x:c r="A22" t="str">
        <x:v>Invalidation conditions</x:v>
      </x:c>
      <x:c r="B22" t="str">
        <x:v>Rework, customer windows, cancellations, worker overtime, regulatory constraints, or weak demand invalidate a shortcut.</x:v>
      </x:c>
    </x:row>
    <x:row r="25" ht="23" customHeight="1">
      <x:c r="A25" s="10" t="str">
        <x:v>RESEARCH AND STATUS</x:v>
      </x:c>
      <x:c r="B25" s="10"/>
      <x:c r="C25" s="10"/>
      <x:c r="D25" s="10"/>
      <x:c r="E25" s="10"/>
      <x:c r="F25" s="10"/>
      <x:c r="G25" s="10"/>
    </x:row>
    <x:row r="26">
      <x:c r="A26" t="str">
        <x:v>Actual operating history</x:v>
      </x:c>
      <x:c r="B26" t="str">
        <x:v>Co-built Dragonfly, about 21 employees excluding operators, functional leadership; firsthand account</x:v>
      </x:c>
    </x:row>
    <x:row r="27">
      <x:c r="A27" t="str">
        <x:v>Not verified by business ledgers</x:v>
      </x:c>
      <x:c r="B27" t="str">
        <x:v>Actual annual sales, historical profitability, customer retention and job volumes</x:v>
      </x:c>
    </x:row>
    <x:row r="28">
      <x:c r="A28" t="str">
        <x:v>Research benchmark</x:v>
      </x:c>
      <x:c r="B28" t="str">
        <x:v>BLS pest control workers May 2025 median pay: $21.75/hour; link in Sources</x:v>
      </x:c>
    </x:row>
    <x:row r="29">
      <x:c r="A29" t="str">
        <x:v>Analytical status</x:v>
      </x:c>
      <x:c r="B29" t="str">
        <x:v>All operating economics values are hypothetical 2026 retrospective teaching scenarios</x:v>
      </x:c>
    </x:row>
  </x:sheetData>
  <x:mergeCells>
    <x:mergeCell ref="A1:G2"/>
    <x:mergeCell ref="A3:G3"/>
    <x:mergeCell ref="A15:G15"/>
    <x:mergeCell ref="A25:G2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35" hidden="0" customWidth="1"/>
    <x:col min="3" max="3" width="92" hidden="0" customWidth="1"/>
    <x:col min="4" max="4" width="65" hidden="0" customWidth="1"/>
  </x:cols>
  <x:sheetData>
    <x:row r="1" ht="25" customHeight="1">
      <x:c r="A1" s="4" t="str">
        <x:v>PROVENANCE | WHAT EACH CLAIM CAN SUPPORT</x:v>
      </x:c>
      <x:c r="B1" s="4"/>
      <x:c r="C1" s="4"/>
      <x:c r="D1" s="4"/>
    </x:row>
    <x:row r="2" ht="25" customHeight="1">
      <x:c r="A2" s="4"/>
      <x:c r="B2" s="4"/>
      <x:c r="C2" s="4"/>
      <x:c r="D2" s="4"/>
    </x:row>
    <x:row r="3" ht="23" customHeight="1">
      <x:c r="A3" s="8" t="str">
        <x:v>Public-release summary. No customer, employee, payroll or proprietary records included.</x:v>
      </x:c>
      <x:c r="B3" s="8"/>
      <x:c r="C3" s="8"/>
      <x:c r="D3" s="8"/>
    </x:row>
    <x:row r="5" ht="24" customHeight="1">
      <x:c r="A5" s="14" t="str">
        <x:v>Item</x:v>
      </x:c>
      <x:c r="B5" s="14" t="str">
        <x:v>Classification</x:v>
      </x:c>
      <x:c r="C5" s="14" t="str">
        <x:v>Source</x:v>
      </x:c>
      <x:c r="D5" s="14" t="str">
        <x:v>Model treatment</x:v>
      </x:c>
    </x:row>
    <x:row r="6">
      <x:c r="A6" s="40" t="str">
        <x:v>~21 employees excluding family operators</x:v>
      </x:c>
      <x:c r="B6" s="40" t="str">
        <x:v>Firsthand historical account</x:v>
      </x:c>
      <x:c r="C6" s="40" t="str">
        <x:v>Jeff Pursley career account, 2026</x:v>
      </x:c>
      <x:c r="D6" s="40" t="str">
        <x:v>Real history; NOT five modeled techs</x:v>
      </x:c>
    </x:row>
    <x:row r="7">
      <x:c r="A7" s="40" t="str">
        <x:v>Staffing, dispatch, leadership and processes</x:v>
      </x:c>
      <x:c r="B7" s="40" t="str">
        <x:v>Firsthand historical account</x:v>
      </x:c>
      <x:c r="C7" s="40" t="str">
        <x:v>Jeff Pursley career account, 2026</x:v>
      </x:c>
      <x:c r="D7" s="40" t="str">
        <x:v>Narrative-only evidence</x:v>
      </x:c>
    </x:row>
    <x:row r="8">
      <x:c r="A8" s="40" t="str">
        <x:v>Technician pay comparison</x:v>
      </x:c>
      <x:c r="B8" s="40" t="str">
        <x:v>External market statistic</x:v>
      </x:c>
      <x:c r="C8" s="40" t="str">
        <x:v>https://www.bls.gov/ooh/building-and-grounds-cleaning/pest-control-workers.htm</x:v>
      </x:c>
      <x:c r="D8" s="40" t="str">
        <x:v>2025 national median $21.75/hr; model uses hypothetical $22.50</x:v>
      </x:c>
    </x:row>
    <x:row r="9">
      <x:c r="A9" s="40" t="str">
        <x:v>All customer/price/time/cost quantities</x:v>
      </x:c>
      <x:c r="B9" s="40" t="str">
        <x:v>Synthetic management scenario</x:v>
      </x:c>
      <x:c r="C9" s="40" t="str">
        <x:v>Author-selected illustrative assumptions</x:v>
      </x:c>
      <x:c r="D9" s="40" t="str">
        <x:v>Not presented as Dragonfly historical figures</x:v>
      </x:c>
    </x:row>
    <x:row r="10">
      <x:c r="A10" s="40" t="str">
        <x:v>Financial and outcome figures</x:v>
      </x:c>
      <x:c r="B10" s="40" t="str">
        <x:v>Calculated / modeled</x:v>
      </x:c>
      <x:c r="C10" s="40" t="str">
        <x:v>Formulas in workbook</x:v>
      </x:c>
      <x:c r="D10" s="40" t="str">
        <x:v>Not verified real business results</x:v>
      </x:c>
    </x:row>
  </x:sheetData>
  <x:mergeCells>
    <x:mergeCell ref="A1:D2"/>
    <x:mergeCell ref="A3:D3"/>
  </x:mergeCells>
  <x:pageMargins left="0.7" right="0.7" top="0.75" bottom="0.75" header="0.3" footer="0.3"/>
</x:worksheet>
</file>